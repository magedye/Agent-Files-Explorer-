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025c017499465b" /></Relationships>
</file>

<file path=xl/workbook.xml><?xml version="1.0" encoding="utf-8"?>
<x:workbook xmlns:x="http://schemas.openxmlformats.org/spreadsheetml/2006/main">
  <x:sheets>
    <x:sheet xmlns:r="http://schemas.openxmlformats.org/officeDocument/2006/relationships" name="ملخص" sheetId="1" r:id="Rd4543e9135084a73"/>
    <x:sheet xmlns:r="http://schemas.openxmlformats.org/officeDocument/2006/relationships" name="خارطة_الأولوية" sheetId="2" r:id="R3c08f1ab06e84c3c"/>
    <x:sheet xmlns:r="http://schemas.openxmlformats.org/officeDocument/2006/relationships" name="البطاقات_الدلالية" sheetId="3" r:id="R6dbdbd191d7b4009"/>
    <x:sheet xmlns:r="http://schemas.openxmlformats.org/officeDocument/2006/relationships" name="المشتقات_والصيغ" sheetId="4" r:id="Rb2ad14a993f746e8"/>
    <x:sheet xmlns:r="http://schemas.openxmlformats.org/officeDocument/2006/relationships" name="السياقات_الحاسمة" sheetId="5" r:id="R1b1a3f9f159b4a42"/>
    <x:sheet xmlns:r="http://schemas.openxmlformats.org/officeDocument/2006/relationships" name="منهج_العمل" sheetId="6" r:id="R6c9b9c6857ca48b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
  </x:numFmts>
  <x:fonts count="8">
    <x:font>
      <x:sz val="11"/>
      <x:name val="Carlito"/>
    </x:font>
    <x:font>
      <x:b/>
      <x:sz val="11"/>
      <x:color rgb="FFFFFFFF"/>
      <x:name val="Carlito"/>
    </x:font>
    <x:font>
      <x:sz val="11"/>
      <x:color rgb="FF5B4A11"/>
      <x:name val="Carlito"/>
    </x:font>
    <x:font>
      <x:b/>
      <x:sz val="11"/>
      <x:color rgb="FF123B4A"/>
      <x:name val="Carlito"/>
    </x:font>
    <x:font>
      <x:sz val="11"/>
      <x:color rgb="FF243B44"/>
      <x:name val="Carlito"/>
    </x:font>
    <x:font>
      <x:b/>
      <x:sz val="11"/>
      <x:color rgb="FF7A4F00"/>
      <x:name val="Carlito"/>
    </x:font>
    <x:font>
      <x:b/>
      <x:sz val="11"/>
      <x:color rgb="FF185C37"/>
      <x:name val="Carlito"/>
    </x:font>
    <x:font>
      <x:sz val="11"/>
      <x:color rgb="FF5E6670"/>
      <x:name val="Carlito"/>
    </x:font>
  </x:fonts>
  <x:fills count="10">
    <x:fill>
      <x:patternFill patternType="none"/>
    </x:fill>
    <x:fill>
      <x:patternFill patternType="gray125"/>
    </x:fill>
    <x:fill>
      <x:patternFill patternType="solid">
        <x:fgColor rgb="FF123B4A"/>
      </x:patternFill>
    </x:fill>
    <x:fill>
      <x:patternFill patternType="solid">
        <x:fgColor rgb="FFFFF7DA"/>
      </x:patternFill>
    </x:fill>
    <x:fill>
      <x:patternFill patternType="solid">
        <x:fgColor rgb="FFD9E9EE"/>
      </x:patternFill>
    </x:fill>
    <x:fill>
      <x:patternFill patternType="solid">
        <x:fgColor rgb="FFF4F7F8"/>
      </x:patternFill>
    </x:fill>
    <x:fill>
      <x:patternFill patternType="solid">
        <x:fgColor rgb="FF1D5A6C"/>
      </x:patternFill>
    </x:fill>
    <x:fill>
      <x:patternFill patternType="solid">
        <x:fgColor rgb="FFFFF1CC"/>
      </x:patternFill>
    </x:fill>
    <x:fill>
      <x:patternFill patternType="solid">
        <x:fgColor rgb="FFDFF4E7"/>
      </x:patternFill>
    </x:fill>
    <x:fill>
      <x:patternFill patternType="solid">
        <x:fgColor rgb="FFF1F3F5"/>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top" wrapText="1"/>
    </x:xf>
    <x:xf numFmtId="200" fontId="3" fillId="5" borderId="0" xfId="0" applyNumberFormat="1" applyFont="1" applyFill="1" applyBorder="1" applyAlignment="1">
      <x:alignment horizontal="center" vertical="top" wrapText="1"/>
    </x:xf>
    <x:xf numFmtId="200" fontId="3" fillId="5" borderId="1"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horizontal="right" vertical="top"/>
    </x:xf>
    <x:xf numFmtId="0" fontId="0" fillId="0" borderId="1" xfId="0" applyNumberFormat="1" applyFont="1" applyFill="1" applyBorder="1" applyAlignment="1">
      <x:alignment horizontal="right" vertical="top"/>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200" fontId="0" fillId="0" borderId="0" xfId="0" applyNumberFormat="1" applyFont="1" applyFill="1" applyBorder="1" applyAlignment="1">
      <x:alignment horizontal="right" vertical="top" wrapText="1"/>
    </x:xf>
    <x:xf numFmtId="200" fontId="0" fillId="0" borderId="1" xfId="0" applyNumberFormat="1" applyFont="1" applyFill="1" applyBorder="1" applyAlignment="1">
      <x:alignment horizontal="right" vertical="top" wrapText="1"/>
    </x:xf>
    <x:xf numFmtId="201" fontId="0" fillId="0" borderId="0" xfId="0" applyNumberFormat="1" applyFont="1" applyFill="1" applyBorder="1" applyAlignment="1">
      <x:alignment horizontal="right" vertical="top" wrapText="1"/>
    </x:xf>
    <x:xf numFmtId="201" fontId="0" fillId="0" borderId="1" xfId="0" applyNumberFormat="1" applyFont="1" applyFill="1" applyBorder="1" applyAlignment="1">
      <x:alignment horizontal="right" vertical="top" wrapText="1"/>
    </x:xf>
    <x:xf numFmtId="200" fontId="4" fillId="5" borderId="0"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0" fontId="0" fillId="7" borderId="0" xfId="0" applyNumberFormat="1" applyFont="1" applyFill="1" applyBorder="1" applyAlignment="1">
      <x:alignment horizontal="right" vertical="top" wrapText="1"/>
    </x:xf>
    <x:xf numFmtId="0" fontId="5" fillId="7" borderId="0" xfId="0" applyNumberFormat="1" applyFont="1" applyFill="1" applyBorder="1" applyAlignment="1">
      <x:alignment horizontal="right" vertical="top" wrapText="1"/>
    </x:xf>
    <x:xf numFmtId="0" fontId="0" fillId="7" borderId="1" xfId="0" applyNumberFormat="1" applyFont="1" applyFill="1" applyBorder="1" applyAlignment="1">
      <x:alignment horizontal="right" vertical="top" wrapText="1"/>
    </x:xf>
    <x:xf numFmtId="0" fontId="5" fillId="7" borderId="1" xfId="0" applyNumberFormat="1" applyFont="1" applyFill="1" applyBorder="1" applyAlignment="1">
      <x:alignment horizontal="right" vertical="top" wrapText="1"/>
    </x:xf>
    <x:xf numFmtId="0" fontId="0" fillId="8" borderId="0" xfId="0" applyNumberFormat="1" applyFont="1" applyFill="1" applyBorder="1" applyAlignment="1">
      <x:alignment horizontal="right" vertical="top" wrapText="1"/>
    </x:xf>
    <x:xf numFmtId="0" fontId="6" fillId="8" borderId="0" xfId="0" applyNumberFormat="1" applyFont="1" applyFill="1" applyBorder="1" applyAlignment="1">
      <x:alignment horizontal="right" vertical="top" wrapText="1"/>
    </x:xf>
    <x:xf numFmtId="0" fontId="0" fillId="8" borderId="1" xfId="0" applyNumberFormat="1" applyFont="1" applyFill="1" applyBorder="1" applyAlignment="1">
      <x:alignment horizontal="right" vertical="top" wrapText="1"/>
    </x:xf>
    <x:xf numFmtId="0" fontId="6" fillId="8" borderId="1" xfId="0" applyNumberFormat="1" applyFont="1" applyFill="1" applyBorder="1" applyAlignment="1">
      <x:alignment horizontal="right" vertical="top" wrapText="1"/>
    </x:xf>
    <x:xf numFmtId="0" fontId="0" fillId="9" borderId="0" xfId="0" applyNumberFormat="1" applyFont="1" applyFill="1" applyBorder="1" applyAlignment="1">
      <x:alignment horizontal="right" vertical="top" wrapText="1"/>
    </x:xf>
    <x:xf numFmtId="0" fontId="7" fillId="9" borderId="0" xfId="0" applyNumberFormat="1" applyFont="1" applyFill="1" applyBorder="1" applyAlignment="1">
      <x:alignment horizontal="right" vertical="top" wrapText="1"/>
    </x:xf>
    <x:xf numFmtId="0" fontId="0" fillId="9" borderId="1" xfId="0" applyNumberFormat="1" applyFont="1" applyFill="1" applyBorder="1" applyAlignment="1">
      <x:alignment horizontal="right" vertical="top" wrapText="1"/>
    </x:xf>
    <x:xf numFmtId="0" fontId="7" fillId="9" borderId="1" xfId="0" applyNumberFormat="1" applyFont="1" applyFill="1" applyBorder="1" applyAlignment="1">
      <x:alignment horizontal="right" vertical="top" wrapText="1"/>
    </x:xf>
    <x:xf numFmtId="202" fontId="0" fillId="0" borderId="0" xfId="0" applyNumberFormat="1" applyFont="1" applyFill="1" applyBorder="1" applyAlignment="1">
      <x:alignment horizontal="right" vertical="top" wrapText="1"/>
    </x:xf>
    <x:xf numFmtId="202" fontId="0" fillId="0" borderId="1" xfId="0" applyNumberFormat="1" applyFont="1" applyFill="1" applyBorder="1" applyAlignment="1">
      <x:alignment horizontal="right" vertical="top" wrapText="1"/>
    </x:xf>
  </x:cellXfs>
  <x:cellStyles count="1">
    <x:cellStyle name="Normal" xfId="0"/>
  </x:cellStyles>
  <x:dxfs count="4">
    <x:dxf>
      <x:font>
        <x:b/>
        <x:color rgb="FF185C37"/>
      </x:font>
      <x:fill>
        <x:patternFill patternType="solid">
          <x:bgColor rgb="FFDFF4E7"/>
        </x:patternFill>
      </x:fill>
    </x:dxf>
    <x:dxf>
      <x:font>
        <x:color rgb="FF5E6670"/>
      </x:font>
      <x:fill>
        <x:patternFill patternType="solid">
          <x:bgColor rgb="FFF1F3F5"/>
        </x:patternFill>
      </x:fill>
    </x:dxf>
    <x:dxf>
      <x:font>
        <x:b/>
        <x:color rgb="FF185C37"/>
      </x:font>
      <x:fill>
        <x:patternFill patternType="solid">
          <x:bgColor rgb="FFDFF4E7"/>
        </x:patternFill>
      </x:fill>
    </x:dxf>
    <x:dxf>
      <x:font>
        <x:color rgb="FF7A4F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b7409fe4794fe3" /><Relationship Type="http://schemas.openxmlformats.org/officeDocument/2006/relationships/theme" Target="/xl/theme/theme1.xml" Id="Rfde70fab7b9a4400" /><Relationship Type="http://schemas.openxmlformats.org/officeDocument/2006/relationships/sharedStrings" Target="/xl/sharedStrings.xml" Id="Rea0c3ee3ca924dc8" /><Relationship Type="http://schemas.openxmlformats.org/officeDocument/2006/relationships/worksheet" Target="/xl/worksheets/sheet1.xml" Id="Rd4543e9135084a73" /><Relationship Type="http://schemas.openxmlformats.org/officeDocument/2006/relationships/worksheet" Target="/xl/worksheets/sheet2.xml" Id="R3c08f1ab06e84c3c" /><Relationship Type="http://schemas.openxmlformats.org/officeDocument/2006/relationships/worksheet" Target="/xl/worksheets/sheet3.xml" Id="R6dbdbd191d7b4009" /><Relationship Type="http://schemas.openxmlformats.org/officeDocument/2006/relationships/worksheet" Target="/xl/worksheets/sheet4.xml" Id="Rb2ad14a993f746e8" /><Relationship Type="http://schemas.openxmlformats.org/officeDocument/2006/relationships/worksheet" Target="/xl/worksheets/sheet5.xml" Id="R1b1a3f9f159b4a42" /><Relationship Type="http://schemas.openxmlformats.org/officeDocument/2006/relationships/worksheet" Target="/xl/worksheets/sheet6.xml" Id="R6c9b9c6857ca48b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8909f596774aff" /><Relationship Type="http://schemas.openxmlformats.org/officeDocument/2006/relationships/chart" Target="/xl/drawings/charts/chart2.xml" Id="R1403464edd964c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توزيع الجذور حسب مرحلة الأولوية</a:t>
            </a:r>
          </a:p>
        </c:rich>
      </c:tx>
    </c:title>
    <c:plotArea>
      <c:barChart>
        <c:barDir val="col"/>
        <c:grouping val="clustered"/>
        <c:varyColors val="0"/>
        <c:ser>
          <c:idx val="0"/>
          <c:order val="0"/>
          <c:tx>
            <c:v>عدد الجذور</c:v>
          </c:tx>
          <c:cat>
            <c:strRef>
              <c:f>'ملخص'!$J$2:$J$5</c:f>
              <c:strCache>
                <c:ptCount val="0"/>
              </c:strCache>
            </c:strRef>
          </c:cat>
          <c:val>
            <c:numRef>
              <c:f>'ملخص'!$K$2:$K$5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أكثر الجذور ورودًا ضمن البرنامج</a:t>
            </a:r>
          </a:p>
        </c:rich>
      </c:tx>
    </c:title>
    <c:plotArea>
      <c:barChart>
        <c:barDir val="col"/>
        <c:varyColors val="0"/>
        <c:ser>
          <c:idx val="0"/>
          <c:order val="0"/>
          <c:tx>
            <c:v>عدد الورود</c:v>
          </c:tx>
          <c:cat>
            <c:strRef>
              <c:f>'ملخص'!$J$10:$J$24</c:f>
              <c:strCache>
                <c:ptCount val="0"/>
              </c:strCache>
            </c:strRef>
          </c:cat>
          <c:val>
            <c:numRef>
              <c:f>'ملخص'!$K$10:$K$24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0</xdr:row>
      <xdr:rowOff>0</xdr:rowOff>
    </xdr:from>
    <xdr:to>
      <xdr:col>20</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8909f596774aff"/>
        </a:graphicData>
      </a:graphic>
    </xdr:graphicFrame>
    <xdr:clientData/>
  </xdr:twoCellAnchor>
  <xdr:twoCellAnchor>
    <xdr:from>
      <xdr:col>12</xdr:col>
      <xdr:colOff>0</xdr:colOff>
      <xdr:row>15</xdr:row>
      <xdr:rowOff>0</xdr:rowOff>
    </xdr:from>
    <xdr:to>
      <xdr:col>20</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03464edd964c4e"/>
        </a:graphicData>
      </a:graphic>
    </xdr:graphicFrame>
    <xdr:clientData/>
  </xdr:twoCellAnchor>
</xdr:wsDr>
</file>

<file path=xl/tables/table1.xml><?xml version="1.0" encoding="utf-8"?>
<x:table xmlns:x="http://schemas.openxmlformats.org/spreadsheetml/2006/main" id="1" name="RootPriorityTable" displayName="RootPriorityTable" ref="A6:Y63" headerRowCount="1" totalsRowCount="0" totalsRowShown="0">
  <x:tableColumns count="25">
    <x:tableColumn id="1" name="الترتيب"/>
    <x:tableColumn id="2" name="المرحلة"/>
    <x:tableColumn id="3" name="الجذر"/>
    <x:tableColumn id="4" name="الأسرة المفهومية"/>
    <x:tableColumn id="5" name="الحالة"/>
    <x:tableColumn id="6" name="عدد الورود"/>
    <x:tableColumn id="7" name="عدد السور"/>
    <x:tableColumn id="8" name="عدد اللمم/المشتقات"/>
    <x:tableColumn id="9" name="الصور السطحية المميزة"/>
    <x:tableColumn id="10" name="أنواع POS"/>
    <x:tableColumn id="11" name="عدد أوزان الفعل"/>
    <x:tableColumn id="12" name="أوزان الفعل"/>
    <x:tableColumn id="13" name="التنوع البنيوي"/>
    <x:tableColumn id="14" name="الأهمية"/>
    <x:tableColumn id="15" name="درجة التكرار"/>
    <x:tableColumn id="16" name="درجة التنوع"/>
    <x:tableColumn id="17" name="قيمة التفريق"/>
    <x:tableColumn id="18" name="خطر المعنى المسبق"/>
    <x:tableColumn id="19" name="قابلية إعادة الاستخدام"/>
    <x:tableColumn id="20" name="درجة الأولوية"/>
    <x:tableColumn id="21" name="التغطية المطلوبة"/>
    <x:tableColumn id="22" name="السياقات الحاسمة المرشحة"/>
    <x:tableColumn id="23" name="الألفاظ/الجذور القريبة"/>
    <x:tableColumn id="24" name="الإجراء التالي"/>
    <x:tableColumn id="25" name="المصدر"/>
  </x:tableColumns>
  <x:tableStyleInfo name="TableStyleMedium2" showFirstColumn="0" showLastColumn="0" showRowStripes="1" showColumnStripes="0"/>
</x:table>
</file>

<file path=xl/tables/table2.xml><?xml version="1.0" encoding="utf-8"?>
<x:table xmlns:x="http://schemas.openxmlformats.org/spreadsheetml/2006/main" id="2" name="SemanticCardsTable" displayName="SemanticCardsTable" ref="A6:N63" headerRowCount="1" totalsRowCount="0" totalsRowShown="0">
  <x:tableColumns count="14">
    <x:tableColumn id="1" name="الترتيب"/>
    <x:tableColumn id="2" name="الجذر"/>
    <x:tableColumn id="3" name="الحالة"/>
    <x:tableColumn id="4" name="Root Core الحالي"/>
    <x:tableColumn id="5" name="REQUIRED"/>
    <x:tableColumn id="6" name="PERMITTED / التطبيقات"/>
    <x:tableColumn id="7" name="EXCLUDED"/>
    <x:tableColumn id="8" name="UNKNOWN"/>
    <x:tableColumn id="9" name="السياقات الحاسمة"/>
    <x:tableColumn id="10" name="الألفاظ القريبة"/>
    <x:tableColumn id="11" name="الثقة/الرتبة"/>
    <x:tableColumn id="12" name="الإجراء التالي"/>
    <x:tableColumn id="13" name="التغطية المطلوبة"/>
    <x:tableColumn id="14" name="المصدر"/>
  </x:tableColumns>
  <x:tableStyleInfo name="TableStyleMedium2" showFirstColumn="0" showLastColumn="0" showRowStripes="1" showColumnStripes="0"/>
</x:table>
</file>

<file path=xl/tables/table3.xml><?xml version="1.0" encoding="utf-8"?>
<x:table xmlns:x="http://schemas.openxmlformats.org/spreadsheetml/2006/main" id="3" name="DerivativesTable" displayName="DerivativesTable" ref="A6:L429" headerRowCount="1" totalsRowCount="0" totalsRowShown="0">
  <x:tableColumns count="12">
    <x:tableColumn id="1" name="الجذر"/>
    <x:tableColumn id="2" name="المرحلة"/>
    <x:tableColumn id="3" name="اللمة/المشتق"/>
    <x:tableColumn id="4" name="عدد الورود"/>
    <x:tableColumn id="5" name="نوع الكلمة"/>
    <x:tableColumn id="6" name="POS"/>
    <x:tableColumn id="7" name="أوزان الفعل"/>
    <x:tableColumn id="8" name="عدد الصور السطحية"/>
    <x:tableColumn id="9" name="أمثلة صور"/>
    <x:tableColumn id="10" name="مراجع أمثلة"/>
    <x:tableColumn id="11" name="حالة التحليل"/>
    <x:tableColumn id="12" name="المصدر"/>
  </x:tableColumns>
  <x:tableStyleInfo name="TableStyleMedium2" showFirstColumn="0" showLastColumn="0" showRowStripes="1" showColumnStripes="0"/>
</x:table>
</file>

<file path=xl/tables/table4.xml><?xml version="1.0" encoding="utf-8"?>
<x:table xmlns:x="http://schemas.openxmlformats.org/spreadsheetml/2006/main" id="4" name="DecisiveContextsTable" displayName="DecisiveContextsTable" ref="A6:I232" headerRowCount="1" totalsRowCount="0" totalsRowShown="0">
  <x:tableColumns count="9">
    <x:tableColumn id="1" name="الجذر"/>
    <x:tableColumn id="2" name="المرحلة"/>
    <x:tableColumn id="3" name="المرجع"/>
    <x:tableColumn id="4" name="نص الآية"/>
    <x:tableColumn id="5" name="الحالة"/>
    <x:tableColumn id="6" name="سبب الترشيح/الحسم"/>
    <x:tableColumn id="7" name="الفرضية التي يختبرها أو ينفيها"/>
    <x:tableColumn id="8" name="وزن الدليل"/>
    <x:tableColumn id="9" name="المصدر"/>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33a6d00b014478a" /></Relationships>
</file>

<file path=xl/worksheets/_rels/sheet2.xml.rels>&#65279;<?xml version="1.0" encoding="utf-8"?><Relationships xmlns="http://schemas.openxmlformats.org/package/2006/relationships"><Relationship Type="http://schemas.openxmlformats.org/officeDocument/2006/relationships/table" Target="/xl/tables/table1.xml" Id="R10fa1534ec2a4b9a" /></Relationships>
</file>

<file path=xl/worksheets/_rels/sheet3.xml.rels>&#65279;<?xml version="1.0" encoding="utf-8"?><Relationships xmlns="http://schemas.openxmlformats.org/package/2006/relationships"><Relationship Type="http://schemas.openxmlformats.org/officeDocument/2006/relationships/table" Target="/xl/tables/table2.xml" Id="Rf0acd9d8973c4b15" /></Relationships>
</file>

<file path=xl/worksheets/_rels/sheet4.xml.rels>&#65279;<?xml version="1.0" encoding="utf-8"?><Relationships xmlns="http://schemas.openxmlformats.org/package/2006/relationships"><Relationship Type="http://schemas.openxmlformats.org/officeDocument/2006/relationships/table" Target="/xl/tables/table3.xml" Id="R1728457200f74010" /></Relationships>
</file>

<file path=xl/worksheets/_rels/sheet5.xml.rels>&#65279;<?xml version="1.0" encoding="utf-8"?><Relationships xmlns="http://schemas.openxmlformats.org/package/2006/relationships"><Relationship Type="http://schemas.openxmlformats.org/officeDocument/2006/relationships/table" Target="/xl/tables/table4.xml" Id="R59dae7dfee71411b" /></Relationships>
</file>

<file path=xl/worksheets/sheet1.xml><?xml version="1.0" encoding="utf-8"?>
<x:worksheet xmlns:x="http://schemas.openxmlformats.org/spreadsheetml/2006/main">
  <x:sheetFormatPr defaultRowHeight="15"/>
  <x:cols>
    <x:col min="1" max="1" width="15" hidden="0" customWidth="1"/>
    <x:col min="2" max="2" width="18" hidden="0" customWidth="1"/>
    <x:col min="3" max="3" width="24" hidden="0" customWidth="1"/>
    <x:col min="4" max="4" width="14" hidden="0" customWidth="1"/>
    <x:col min="5" max="5" width="14" hidden="0" customWidth="1"/>
    <x:col min="6" max="6" width="12" hidden="0" customWidth="1"/>
    <x:col min="7" max="7" width="34" hidden="0" customWidth="1"/>
    <x:col min="8" max="8" width="28" hidden="0" customWidth="1"/>
    <x:col min="10" max="10" width="30" hidden="0" customWidth="1"/>
    <x:col min="11" max="11" width="14" hidden="0" customWidth="1"/>
  </x:cols>
  <x:sheetData>
    <x:row r="1" ht="28" customHeight="1">
      <x:c r="A1" s="6" t="str">
        <x:v>برنامج بناء المرجع الدلالي للجذور القرآنية</x:v>
      </x:c>
      <x:c r="B1" s="6"/>
      <x:c r="C1" s="6"/>
      <x:c r="D1" s="6"/>
      <x:c r="E1" s="6"/>
      <x:c r="F1" s="6"/>
      <x:c r="G1" s="6"/>
      <x:c r="H1" s="6"/>
      <x:c r="J1" s="26" t="str">
        <x:v>المرحلة</x:v>
      </x:c>
      <x:c r="K1" s="26" t="str">
        <x:v>عدد الجذور</x:v>
      </x:c>
    </x:row>
    <x:row r="2" ht="28" customHeight="1">
      <x:c r="A2" s="6"/>
      <x:c r="B2" s="6"/>
      <x:c r="C2" s="6"/>
      <x:c r="D2" s="6"/>
      <x:c r="E2" s="6"/>
      <x:c r="F2" s="6"/>
      <x:c r="G2" s="6"/>
      <x:c r="H2" s="6"/>
      <x:c r="J2" s="35" t="str">
        <x:v>P0 — تعريف مرجعي قائم</x:v>
      </x:c>
      <x:c r="K2" s="35" t="n">
        <x:f>COUNTIF('خارطة_الأولوية'!B:B,"P0 — تعريف مرجعي قائم")</x:f>
        <x:v>2</x:v>
      </x:c>
    </x:row>
    <x:row r="3">
      <x:c r="J3" s="35" t="str">
        <x:v>P1 — أصول تأسيسية عالية الأثر</x:v>
      </x:c>
      <x:c r="K3" s="35" t="n">
        <x:f>COUNTIF('خارطة_الأولوية'!B:B,"P1 — أصول تأسيسية عالية الأثر")</x:f>
        <x:v>20</x:v>
      </x:c>
    </x:row>
    <x:row r="4">
      <x:c r="A4" s="16" t="str">
        <x:v>خريطة أولويات عملية لبناء Semantic Definition Registry داخل المهارة. الأعداد البنيوية مستخرجة من Quranic Arabic Corpus، أما التعريفات الدلالية فلا تُملأ قبل التحليل الأعمى والقفل الداخلي. تم تعبئة ن ش ز وك ت ب فقط لأنهما التعريفان اللذان جرى الاتفاق عليهما.</x:v>
      </x:c>
      <x:c r="B4" s="16"/>
      <x:c r="C4" s="16"/>
      <x:c r="D4" s="16"/>
      <x:c r="E4" s="16"/>
      <x:c r="F4" s="16"/>
      <x:c r="G4" s="16"/>
      <x:c r="H4" s="16"/>
      <x:c r="J4" s="35" t="str">
        <x:v>P2 — شبكات دلالية مركزية</x:v>
      </x:c>
      <x:c r="K4" s="35" t="n">
        <x:f>COUNTIF('خارطة_الأولوية'!B:B,"P2 — شبكات دلالية مركزية")</x:f>
        <x:v>18</x:v>
      </x:c>
    </x:row>
    <x:row r="5">
      <x:c r="A5" s="16"/>
      <x:c r="B5" s="16"/>
      <x:c r="C5" s="16"/>
      <x:c r="D5" s="16"/>
      <x:c r="E5" s="16"/>
      <x:c r="F5" s="16"/>
      <x:c r="G5" s="16"/>
      <x:c r="H5" s="16"/>
      <x:c r="J5" s="35" t="str">
        <x:v>P3 — جذور تفريق واختبار</x:v>
      </x:c>
      <x:c r="K5" s="35" t="n">
        <x:f>COUNTIF('خارطة_الأولوية'!B:B,"P3 — جذور تفريق واختبار")</x:f>
        <x:v>17</x:v>
      </x:c>
    </x:row>
    <x:row r="6">
      <x:c r="A6" s="16"/>
      <x:c r="B6" s="16"/>
      <x:c r="C6" s="16"/>
      <x:c r="D6" s="16"/>
      <x:c r="E6" s="16"/>
      <x:c r="F6" s="16"/>
      <x:c r="G6" s="16"/>
      <x:c r="H6" s="16"/>
    </x:row>
    <x:row r="8">
      <x:c r="A8" s="26" t="str">
        <x:v>المؤشر</x:v>
      </x:c>
      <x:c r="B8" s="26" t="str">
        <x:v>القيمة</x:v>
      </x:c>
    </x:row>
    <x:row r="9">
      <x:c r="A9" s="35" t="str">
        <x:v>عدد الجذور في البرنامج</x:v>
      </x:c>
      <x:c r="B9" s="42" t="n">
        <x:f>COUNTA('خارطة_الأولوية'!C7:C1000)</x:f>
        <x:v>57</x:v>
      </x:c>
      <x:c r="J9" s="26" t="str">
        <x:v>الجذر</x:v>
      </x:c>
      <x:c r="K9" s="26" t="str">
        <x:v>عدد الورود</x:v>
      </x:c>
    </x:row>
    <x:row r="10">
      <x:c r="A10" s="35" t="str">
        <x:v>تعريفات مرجعية متفق عليها/قيد العمل</x:v>
      </x:c>
      <x:c r="B10" s="42" t="n">
        <x:f>COUNTIF('خارطة_الأولوية'!E7:E1000,"AGREED / REGRESSION_BACKED")+COUNTIF('خارطة_الأولوية'!E7:E1000,"AGREED_WORKING / PROVISIONAL")</x:f>
        <x:v>2</x:v>
      </x:c>
      <x:c r="J10" s="35" t="str">
        <x:v>ق و ل</x:v>
      </x:c>
      <x:c r="K10" s="66" t="n">
        <x:v>1722</x:v>
      </x:c>
    </x:row>
    <x:row r="11">
      <x:c r="A11" s="35" t="str">
        <x:v>جذور لم تبدأ دلاليًا</x:v>
      </x:c>
      <x:c r="B11" s="42" t="n">
        <x:f>COUNTIF('خارطة_الأولوية'!E7:E1000,"NOT_STARTED")</x:f>
        <x:v>55</x:v>
      </x:c>
      <x:c r="J11" s="35" t="str">
        <x:v>ك و ن</x:v>
      </x:c>
      <x:c r="K11" s="66" t="n">
        <x:v>1390</x:v>
      </x:c>
    </x:row>
    <x:row r="12">
      <x:c r="A12" s="35" t="str">
        <x:v>مجموع ورود الجذور المختارة</x:v>
      </x:c>
      <x:c r="B12" s="44" t="n">
        <x:f>SUM('خارطة_الأولوية'!F7:F1000)</x:f>
        <x:v>13282</x:v>
      </x:c>
      <x:c r="J12" s="35" t="str">
        <x:v>أ م ن</x:v>
      </x:c>
      <x:c r="K12" s="66" t="n">
        <x:v>879</x:v>
      </x:c>
    </x:row>
    <x:row r="13">
      <x:c r="A13" s="35" t="str">
        <x:v>إجمالي اللمم/المشتقات البنيوية</x:v>
      </x:c>
      <x:c r="B13" s="44" t="n">
        <x:f>SUM('خارطة_الأولوية'!H7:H1000)</x:f>
        <x:v>423</x:v>
      </x:c>
      <x:c r="J13" s="35" t="str">
        <x:v>ع ل م</x:v>
      </x:c>
      <x:c r="K13" s="66" t="n">
        <x:v>854</x:v>
      </x:c>
    </x:row>
    <x:row r="14">
      <x:c r="A14" s="35" t="str">
        <x:v>إجمالي السياقات الحاسمة المرشحة</x:v>
      </x:c>
      <x:c r="B14" s="44" t="n">
        <x:f>COUNTA('السياقات_الحاسمة'!C7:C1000)</x:f>
        <x:v>226</x:v>
      </x:c>
      <x:c r="J14" s="35" t="str">
        <x:v>ك ف ر</x:v>
      </x:c>
      <x:c r="K14" s="66" t="n">
        <x:v>525</x:v>
      </x:c>
    </x:row>
    <x:row r="15">
      <x:c r="J15" s="35" t="str">
        <x:v>ب ي ن</x:v>
      </x:c>
      <x:c r="K15" s="66" t="n">
        <x:v>523</x:v>
      </x:c>
    </x:row>
    <x:row r="16">
      <x:c r="J16" s="35" t="str">
        <x:v>ش ي أ (شاء/شيء)</x:v>
      </x:c>
      <x:c r="K16" s="66" t="n">
        <x:v>519</x:v>
      </x:c>
    </x:row>
    <x:row r="17">
      <x:c r="A17" s="50" t="str">
        <x:v>الدفعة المقترحة التالية للتحليل الأعمى</x:v>
      </x:c>
      <x:c r="B17" s="50"/>
      <x:c r="C17" s="50"/>
      <x:c r="D17" s="50"/>
      <x:c r="E17" s="50"/>
      <x:c r="F17" s="50"/>
      <x:c r="G17" s="50"/>
      <x:c r="H17" s="50"/>
      <x:c r="J17" s="35" t="str">
        <x:v>ع م ل</x:v>
      </x:c>
      <x:c r="K17" s="66" t="n">
        <x:v>360</x:v>
      </x:c>
    </x:row>
    <x:row r="18">
      <x:c r="A18" s="26" t="str">
        <x:v>الترتيب</x:v>
      </x:c>
      <x:c r="B18" s="26" t="str">
        <x:v>الجذر</x:v>
      </x:c>
      <x:c r="C18" s="26" t="str">
        <x:v>الأسرة</x:v>
      </x:c>
      <x:c r="D18" s="26" t="str">
        <x:v>عدد الورود</x:v>
      </x:c>
      <x:c r="E18" s="26" t="str">
        <x:v>التنوع</x:v>
      </x:c>
      <x:c r="F18" s="26" t="str">
        <x:v>الأولوية</x:v>
      </x:c>
      <x:c r="G18" s="26" t="str">
        <x:v>السياقات المرشحة</x:v>
      </x:c>
      <x:c r="H18" s="26" t="str">
        <x:v>مقارنة قريبة</x:v>
      </x:c>
      <x:c r="J18" s="35" t="str">
        <x:v>ج ع ل</x:v>
      </x:c>
      <x:c r="K18" s="66" t="n">
        <x:v>346</x:v>
      </x:c>
    </x:row>
    <x:row r="19">
      <x:c r="A19" s="60" t="n">
        <x:v>1</x:v>
      </x:c>
      <x:c r="B19" s="60" t="str">
        <x:v>أ م ن</x:v>
      </x:c>
      <x:c r="C19" s="60" t="str">
        <x:v>الأمن/الإيمان</x:v>
      </x:c>
      <x:c r="D19" s="62" t="n">
        <x:v>879</x:v>
      </x:c>
      <x:c r="E19" s="60" t="str">
        <x:v>مرتفع جدًا</x:v>
      </x:c>
      <x:c r="F19" s="64" t="n">
        <x:v>5</x:v>
      </x:c>
      <x:c r="G19" s="60" t="str">
        <x:v>2:3؛ 106:4؛ 4:83؛ 12:17</x:v>
      </x:c>
      <x:c r="H19" s="60" t="str">
        <x:v>صدق، سلم، كفر، خوف</x:v>
      </x:c>
      <x:c r="J19" s="35" t="str">
        <x:v>ر ح م</x:v>
      </x:c>
      <x:c r="K19" s="66" t="n">
        <x:v>339</x:v>
      </x:c>
    </x:row>
    <x:row r="20">
      <x:c r="A20" s="60" t="n">
        <x:v>2</x:v>
      </x:c>
      <x:c r="B20" s="60" t="str">
        <x:v>ك ف ر</x:v>
      </x:c>
      <x:c r="C20" s="60" t="str">
        <x:v>الكفر/الستر أو الجحود محل اختبار</x:v>
      </x:c>
      <x:c r="D20" s="62" t="n">
        <x:v>525</x:v>
      </x:c>
      <x:c r="E20" s="60" t="str">
        <x:v>مرتفع جدًا</x:v>
      </x:c>
      <x:c r="F20" s="64" t="n">
        <x:v>5</x:v>
      </x:c>
      <x:c r="G20" s="60" t="str">
        <x:v>14:7؛ 31:12؛ 29:25؛ 2:257</x:v>
      </x:c>
      <x:c r="H20" s="60" t="str">
        <x:v>أمن، شكر، جحد، ستر</x:v>
      </x:c>
      <x:c r="J20" s="35" t="str">
        <x:v>ك ت ب</x:v>
      </x:c>
      <x:c r="K20" s="66" t="n">
        <x:v>319</x:v>
      </x:c>
    </x:row>
    <x:row r="21">
      <x:c r="A21" s="60" t="n">
        <x:v>3</x:v>
      </x:c>
      <x:c r="B21" s="60" t="str">
        <x:v>ع ل م</x:v>
      </x:c>
      <x:c r="C21" s="60" t="str">
        <x:v>المعرفة/الإدراك</x:v>
      </x:c>
      <x:c r="D21" s="62" t="n">
        <x:v>854</x:v>
      </x:c>
      <x:c r="E21" s="60" t="str">
        <x:v>مرتفع جدًا</x:v>
      </x:c>
      <x:c r="F21" s="64" t="n">
        <x:v>4.9</x:v>
      </x:c>
      <x:c r="G21" s="60" t="str">
        <x:v>2:31؛ 96:4؛ 12:76؛ 4:166</x:v>
      </x:c>
      <x:c r="H21" s="60" t="str">
        <x:v>عرف، فقه، عقل، بين، رأي</x:v>
      </x:c>
      <x:c r="J21" s="35" t="str">
        <x:v>ه د ي</x:v>
      </x:c>
      <x:c r="K21" s="66" t="n">
        <x:v>316</x:v>
      </x:c>
    </x:row>
    <x:row r="22">
      <x:c r="A22" s="60" t="n">
        <x:v>4</x:v>
      </x:c>
      <x:c r="B22" s="60" t="str">
        <x:v>ب ي ن</x:v>
      </x:c>
      <x:c r="C22" s="60" t="str">
        <x:v>البيان/الفصل</x:v>
      </x:c>
      <x:c r="D22" s="62" t="n">
        <x:v>523</x:v>
      </x:c>
      <x:c r="E22" s="60" t="str">
        <x:v>مرتفع جدًا</x:v>
      </x:c>
      <x:c r="F22" s="64" t="n">
        <x:v>4.9</x:v>
      </x:c>
      <x:c r="G22" s="60" t="str">
        <x:v>16:44؛ 55:4؛ 2:185؛ 3:138</x:v>
      </x:c>
      <x:c r="H22" s="60" t="str">
        <x:v>علم، فرق، حقق، شهد</x:v>
      </x:c>
      <x:c r="J22" s="35" t="str">
        <x:v>ظ ل م</x:v>
      </x:c>
      <x:c r="K22" s="66" t="n">
        <x:v>315</x:v>
      </x:c>
    </x:row>
    <x:row r="23">
      <x:c r="A23" s="60" t="n">
        <x:v>5</x:v>
      </x:c>
      <x:c r="B23" s="60" t="str">
        <x:v>ه د ي</x:v>
      </x:c>
      <x:c r="C23" s="60" t="str">
        <x:v>الهداية/الاتجاه</x:v>
      </x:c>
      <x:c r="D23" s="62" t="n">
        <x:v>316</x:v>
      </x:c>
      <x:c r="E23" s="60" t="str">
        <x:v>مرتفع جدًا</x:v>
      </x:c>
      <x:c r="F23" s="64" t="n">
        <x:v>4.8</x:v>
      </x:c>
      <x:c r="G23" s="60" t="str">
        <x:v>20:50؛ 2:2؛ 28:56؛ 6:71</x:v>
      </x:c>
      <x:c r="H23" s="60" t="str">
        <x:v>ضلل، رشد، بين، علم</x:v>
      </x:c>
      <x:c r="J23" s="35" t="str">
        <x:v>ن ف س</x:v>
      </x:c>
      <x:c r="K23" s="66" t="n">
        <x:v>298</x:v>
      </x:c>
    </x:row>
    <x:row r="24">
      <x:c r="A24" s="60" t="n">
        <x:v>6</x:v>
      </x:c>
      <x:c r="B24" s="60" t="str">
        <x:v>ظ ل م</x:v>
      </x:c>
      <x:c r="C24" s="60" t="str">
        <x:v>الظلم/النقص أو التعدي محل اختبار</x:v>
      </x:c>
      <x:c r="D24" s="62" t="n">
        <x:v>315</x:v>
      </x:c>
      <x:c r="E24" s="60" t="str">
        <x:v>مرتفع جدًا</x:v>
      </x:c>
      <x:c r="F24" s="64" t="n">
        <x:v>4.8</x:v>
      </x:c>
      <x:c r="G24" s="60" t="str">
        <x:v>18:33؛ 2:57؛ 31:13؛ 4:40</x:v>
      </x:c>
      <x:c r="H24" s="60" t="str">
        <x:v>عدل، قسط، حقق</x:v>
      </x:c>
      <x:c r="J24" s="35" t="str">
        <x:v>ذ ك ر</x:v>
      </x:c>
      <x:c r="K24" s="66" t="n">
        <x:v>292</x:v>
      </x:c>
    </x:row>
    <x:row r="25">
      <x:c r="A25" s="60" t="n">
        <x:v>7</x:v>
      </x:c>
      <x:c r="B25" s="60" t="str">
        <x:v>ح ك م</x:v>
      </x:c>
      <x:c r="C25" s="60" t="str">
        <x:v>الحكم/الإحكام</x:v>
      </x:c>
      <x:c r="D25" s="62" t="n">
        <x:v>210</x:v>
      </x:c>
      <x:c r="E25" s="60" t="str">
        <x:v>مرتفع جدًا</x:v>
      </x:c>
      <x:c r="F25" s="64" t="n">
        <x:v>4.8</x:v>
      </x:c>
      <x:c r="G25" s="60" t="str">
        <x:v>11:1؛ 4:65؛ 12:40؛ 21:78</x:v>
      </x:c>
      <x:c r="H25" s="60" t="str">
        <x:v>قضي، أمر، حقق، عدل</x:v>
      </x:c>
    </x:row>
    <x:row r="26">
      <x:c r="A26" s="60" t="n">
        <x:v>8</x:v>
      </x:c>
      <x:c r="B26" s="60" t="str">
        <x:v>خ ل ق</x:v>
      </x:c>
      <x:c r="C26" s="60" t="str">
        <x:v>الإيجاد/التكوين</x:v>
      </x:c>
      <x:c r="D26" s="62" t="n">
        <x:v>261</x:v>
      </x:c>
      <x:c r="E26" s="60" t="str">
        <x:v>مرتفع</x:v>
      </x:c>
      <x:c r="F26" s="64" t="n">
        <x:v>4.65</x:v>
      </x:c>
      <x:c r="G26" s="60" t="str">
        <x:v>4:1؛ 23:14؛ 29:17؛ 20:50</x:v>
      </x:c>
      <x:c r="H26" s="60" t="str">
        <x:v>جعل، صنع، فعل، فطر</x:v>
      </x:c>
    </x:row>
    <x:row r="27">
      <x:c r="A27" s="60" t="n">
        <x:v>9</x:v>
      </x:c>
      <x:c r="B27" s="60" t="str">
        <x:v>ق و ل</x:v>
      </x:c>
      <x:c r="C27" s="60" t="str">
        <x:v>القول/الإفصاح</x:v>
      </x:c>
      <x:c r="D27" s="62" t="n">
        <x:v>1722</x:v>
      </x:c>
      <x:c r="E27" s="60" t="str">
        <x:v>متوسط</x:v>
      </x:c>
      <x:c r="F27" s="64" t="n">
        <x:v>4.6</x:v>
      </x:c>
      <x:c r="G27" s="60" t="str">
        <x:v>33:70؛ 2:8؛ 36:82؛ 4:148</x:v>
      </x:c>
      <x:c r="H27" s="60" t="str">
        <x:v>كلام، نطق، دعو</x:v>
      </x:c>
    </x:row>
    <x:row r="28">
      <x:c r="A28" s="60" t="n">
        <x:v>10</x:v>
      </x:c>
      <x:c r="B28" s="60" t="str">
        <x:v>ق د ر</x:v>
      </x:c>
      <x:c r="C28" s="60" t="str">
        <x:v>التقدير/المقدار</x:v>
      </x:c>
      <x:c r="D28" s="62" t="n">
        <x:v>132</x:v>
      </x:c>
      <x:c r="E28" s="60" t="str">
        <x:v>مرتفع جدًا</x:v>
      </x:c>
      <x:c r="F28" s="64" t="n">
        <x:v>4.6</x:v>
      </x:c>
      <x:c r="G28" s="60" t="str">
        <x:v>15:21؛ 54:49؛ 65:3؛ 87:3؛ 89:16</x:v>
      </x:c>
      <x:c r="H28" s="60" t="str">
        <x:v>قضي، حكم، كتب، جعل، فرض</x:v>
      </x:c>
    </x:row>
    <x:row r="29">
      <x:c r="A29" s="60" t="n">
        <x:v>11</x:v>
      </x:c>
      <x:c r="B29" s="60" t="str">
        <x:v>ش ي أ (شاء/شيء)</x:v>
      </x:c>
      <x:c r="C29" s="60" t="str">
        <x:v>المشيئة/الشيء</x:v>
      </x:c>
      <x:c r="D29" s="62" t="n">
        <x:v>519</x:v>
      </x:c>
      <x:c r="E29" s="60" t="str">
        <x:v>محدود</x:v>
      </x:c>
      <x:c r="F29" s="64" t="n">
        <x:v>4.55</x:v>
      </x:c>
      <x:c r="G29" s="60" t="str">
        <x:v>18:39؛ 76:30؛ 36:82؛ 6:35</x:v>
      </x:c>
      <x:c r="H29" s="60" t="str">
        <x:v>رود، قدر، أمر، كون</x:v>
      </x:c>
    </x:row>
    <x:row r="30">
      <x:c r="A30" s="60" t="n">
        <x:v>12</x:v>
      </x:c>
      <x:c r="B30" s="60" t="str">
        <x:v>ح ق ق</x:v>
      </x:c>
      <x:c r="C30" s="60" t="str">
        <x:v>الحق/التحقق</x:v>
      </x:c>
      <x:c r="D30" s="62" t="n">
        <x:v>287</x:v>
      </x:c>
      <x:c r="E30" s="60" t="str">
        <x:v>مرتفع</x:v>
      </x:c>
      <x:c r="F30" s="64" t="n">
        <x:v>4.55</x:v>
      </x:c>
      <x:c r="G30" s="60" t="str">
        <x:v>10:32؛ 8:8؛ 69:1؛ 22:6</x:v>
      </x:c>
      <x:c r="H30" s="60" t="str">
        <x:v>صدق، حكم، ثبت، باطل</x:v>
      </x:c>
    </x:row>
    <x:row r="31">
      <x:c r="A31" s="60" t="n">
        <x:v>13</x:v>
      </x:c>
      <x:c r="B31" s="60" t="str">
        <x:v>أ م ر</x:v>
      </x:c>
      <x:c r="C31" s="60" t="str">
        <x:v>الأمر/الشأن</x:v>
      </x:c>
      <x:c r="D31" s="62" t="n">
        <x:v>248</x:v>
      </x:c>
      <x:c r="E31" s="60" t="str">
        <x:v>متوسط</x:v>
      </x:c>
      <x:c r="F31" s="64" t="n">
        <x:v>4.5</x:v>
      </x:c>
      <x:c r="G31" s="60" t="str">
        <x:v>36:82؛ 7:54؛ 18:82؛ 65:12</x:v>
      </x:c>
      <x:c r="H31" s="60" t="str">
        <x:v>حكم، قضي، كتب، فرض، قول</x:v>
      </x:c>
    </x:row>
    <x:row r="32">
      <x:c r="A32" s="60" t="n">
        <x:v>14</x:v>
      </x:c>
      <x:c r="B32" s="60" t="str">
        <x:v>ك و ن</x:v>
      </x:c>
      <x:c r="C32" s="60" t="str">
        <x:v>الكون/الكينونة</x:v>
      </x:c>
      <x:c r="D32" s="62" t="n">
        <x:v>1390</x:v>
      </x:c>
      <x:c r="E32" s="60" t="str">
        <x:v>محدود</x:v>
      </x:c>
      <x:c r="F32" s="64" t="n">
        <x:v>4.45</x:v>
      </x:c>
      <x:c r="G32" s="60" t="str">
        <x:v>2:117؛ 16:40؛ 3:79؛ 19:35</x:v>
      </x:c>
      <x:c r="H32" s="60" t="str">
        <x:v>جعل، خلق، حدث</x:v>
      </x:c>
    </x:row>
    <x:row r="33">
      <x:c r="A33" s="60" t="n">
        <x:v>15</x:v>
      </x:c>
      <x:c r="B33" s="60" t="str">
        <x:v>ض ل ل</x:v>
      </x:c>
      <x:c r="C33" s="60" t="str">
        <x:v>الضلال/فقدان السبيل</x:v>
      </x:c>
      <x:c r="D33" s="62" t="n">
        <x:v>191</x:v>
      </x:c>
      <x:c r="E33" s="60" t="str">
        <x:v>مرتفع</x:v>
      </x:c>
      <x:c r="F33" s="64" t="n">
        <x:v>4.45</x:v>
      </x:c>
      <x:c r="G33" s="60" t="str">
        <x:v>20:52؛ 53:2؛ 14:4؛ 26:86</x:v>
      </x:c>
      <x:c r="H33" s="60" t="str">
        <x:v>هدي، غوى، نسي</x:v>
      </x:c>
    </x:row>
  </x:sheetData>
  <x:mergeCells>
    <x:mergeCell ref="A1:H2"/>
    <x:mergeCell ref="A4:H6"/>
    <x:mergeCell ref="A17:H17"/>
  </x:mergeCells>
  <x:pageMargins left="0.7" right="0.7" top="0.75" bottom="0.75" header="0.3" footer="0.3"/>
  <x:drawing xmlns:r="http://schemas.openxmlformats.org/officeDocument/2006/relationships" r:id="Rd33a6d00b014478a"/>
</x:worksheet>
</file>

<file path=xl/worksheets/sheet2.xml><?xml version="1.0" encoding="utf-8"?>
<x:worksheet xmlns:x="http://schemas.openxmlformats.org/spreadsheetml/2006/main">
  <x:sheetFormatPr defaultRowHeight="15"/>
  <x:cols>
    <x:col min="1" max="1" width="9" hidden="0" customWidth="1"/>
    <x:col min="2" max="2" width="30" hidden="0" customWidth="1"/>
    <x:col min="3" max="3" width="18" hidden="0" customWidth="1"/>
    <x:col min="4" max="4" width="27" hidden="0" customWidth="1"/>
    <x:col min="5" max="5" width="26" hidden="0" customWidth="1"/>
    <x:col min="6" max="6" width="12" hidden="0" customWidth="1"/>
    <x:col min="7" max="7" width="11" hidden="0" customWidth="1"/>
    <x:col min="8" max="8" width="16" hidden="0" customWidth="1"/>
    <x:col min="9" max="9" width="17" hidden="0" customWidth="1"/>
    <x:col min="10" max="10" width="11" hidden="0" customWidth="1"/>
    <x:col min="11" max="11" width="14" hidden="0" customWidth="1"/>
    <x:col min="12" max="12" width="16" hidden="0" customWidth="1"/>
    <x:col min="13" max="13" width="15" hidden="0" customWidth="1"/>
    <x:col min="14" max="14" width="10" hidden="0" customWidth="1"/>
    <x:col min="15" max="15" width="12" hidden="0" customWidth="1"/>
    <x:col min="16" max="16" width="12" hidden="0" customWidth="1"/>
    <x:col min="17" max="17" width="12" hidden="0" customWidth="1"/>
    <x:col min="18" max="18" width="14" hidden="0" customWidth="1"/>
    <x:col min="19" max="19" width="15" hidden="0" customWidth="1"/>
    <x:col min="20" max="20" width="13" hidden="0" customWidth="1"/>
    <x:col min="21" max="21" width="30" hidden="0" customWidth="1"/>
    <x:col min="22" max="22" width="29" hidden="0" customWidth="1"/>
    <x:col min="23" max="23" width="35" hidden="0" customWidth="1"/>
    <x:col min="24" max="24" width="45" hidden="0" customWidth="1"/>
    <x:col min="25" max="25" width="42" hidden="0" customWidth="1"/>
  </x:cols>
  <x:sheetData>
    <x:row r="1">
      <x:c r="A1" s="6" t="str">
        <x:v>خارطة أولويات الجذور — البيانات البنيوية + برنامج التحليل</x:v>
      </x:c>
      <x:c r="B1" s="6"/>
      <x:c r="C1" s="6"/>
      <x:c r="D1" s="6"/>
      <x:c r="E1" s="6"/>
      <x:c r="F1" s="6"/>
      <x:c r="G1" s="6"/>
      <x:c r="H1" s="6"/>
      <x:c r="I1" s="6"/>
      <x:c r="J1" s="6"/>
      <x:c r="K1" s="6"/>
      <x:c r="L1" s="6"/>
      <x:c r="M1" s="6"/>
      <x:c r="N1" s="6"/>
      <x:c r="O1" s="6"/>
      <x:c r="P1" s="6"/>
      <x:c r="Q1" s="6"/>
      <x:c r="R1" s="6"/>
      <x:c r="S1" s="6"/>
      <x:c r="T1" s="6"/>
      <x:c r="U1" s="6"/>
      <x:c r="V1" s="6"/>
      <x:c r="W1" s="6"/>
      <x:c r="X1" s="6"/>
      <x:c r="Y1" s="6"/>
    </x:row>
    <x:row r="2">
      <x:c r="A2" s="6"/>
      <x:c r="B2" s="6"/>
      <x:c r="C2" s="6"/>
      <x:c r="D2" s="6"/>
      <x:c r="E2" s="6"/>
      <x:c r="F2" s="6"/>
      <x:c r="G2" s="6"/>
      <x:c r="H2" s="6"/>
      <x:c r="I2" s="6"/>
      <x:c r="J2" s="6"/>
      <x:c r="K2" s="6"/>
      <x:c r="L2" s="6"/>
      <x:c r="M2" s="6"/>
      <x:c r="N2" s="6"/>
      <x:c r="O2" s="6"/>
      <x:c r="P2" s="6"/>
      <x:c r="Q2" s="6"/>
      <x:c r="R2" s="6"/>
      <x:c r="S2" s="6"/>
      <x:c r="T2" s="6"/>
      <x:c r="U2" s="6"/>
      <x:c r="V2" s="6"/>
      <x:c r="W2" s="6"/>
      <x:c r="X2" s="6"/>
      <x:c r="Y2" s="6"/>
    </x:row>
    <x:row r="3">
      <x:c r="A3" s="16" t="str">
        <x:v>تنبيه منهجي: مؤشر التنوع هنا بنيوي/صرفي أولي، وليس حكمًا دلاليًا. السياقات المدرجة للجذور غير المحللة مرشحة للفحص وليست أحكامًا نهائية. حقول Root Core والحدود الدلالية محفوظة في ورقة البطاقات الدلالية.</x:v>
      </x:c>
      <x:c r="B3" s="16"/>
      <x:c r="C3" s="16"/>
      <x:c r="D3" s="16"/>
      <x:c r="E3" s="16"/>
      <x:c r="F3" s="16"/>
      <x:c r="G3" s="16"/>
      <x:c r="H3" s="16"/>
      <x:c r="I3" s="16"/>
      <x:c r="J3" s="16"/>
      <x:c r="K3" s="16"/>
      <x:c r="L3" s="16"/>
      <x:c r="M3" s="16"/>
      <x:c r="N3" s="16"/>
      <x:c r="O3" s="16"/>
      <x:c r="P3" s="16"/>
      <x:c r="Q3" s="16"/>
      <x:c r="R3" s="16"/>
      <x:c r="S3" s="16"/>
      <x:c r="T3" s="16"/>
      <x:c r="U3" s="16"/>
      <x:c r="V3" s="16"/>
      <x:c r="W3" s="16"/>
      <x:c r="X3" s="16"/>
      <x:c r="Y3" s="16"/>
    </x:row>
    <x:row r="4">
      <x:c r="A4" s="16"/>
      <x:c r="B4" s="16"/>
      <x:c r="C4" s="16"/>
      <x:c r="D4" s="16"/>
      <x:c r="E4" s="16"/>
      <x:c r="F4" s="16"/>
      <x:c r="G4" s="16"/>
      <x:c r="H4" s="16"/>
      <x:c r="I4" s="16"/>
      <x:c r="J4" s="16"/>
      <x:c r="K4" s="16"/>
      <x:c r="L4" s="16"/>
      <x:c r="M4" s="16"/>
      <x:c r="N4" s="16"/>
      <x:c r="O4" s="16"/>
      <x:c r="P4" s="16"/>
      <x:c r="Q4" s="16"/>
      <x:c r="R4" s="16"/>
      <x:c r="S4" s="16"/>
      <x:c r="T4" s="16"/>
      <x:c r="U4" s="16"/>
      <x:c r="V4" s="16"/>
      <x:c r="W4" s="16"/>
      <x:c r="X4" s="16"/>
      <x:c r="Y4" s="16"/>
    </x:row>
    <x:row r="6">
      <x:c r="A6" s="26" t="str">
        <x:v>الترتيب</x:v>
      </x:c>
      <x:c r="B6" s="26" t="str">
        <x:v>المرحلة</x:v>
      </x:c>
      <x:c r="C6" s="26" t="str">
        <x:v>الجذر</x:v>
      </x:c>
      <x:c r="D6" s="26" t="str">
        <x:v>الأسرة المفهومية</x:v>
      </x:c>
      <x:c r="E6" s="26" t="str">
        <x:v>الحالة</x:v>
      </x:c>
      <x:c r="F6" s="26" t="str">
        <x:v>عدد الورود</x:v>
      </x:c>
      <x:c r="G6" s="26" t="str">
        <x:v>عدد السور</x:v>
      </x:c>
      <x:c r="H6" s="26" t="str">
        <x:v>عدد اللمم/المشتقات</x:v>
      </x:c>
      <x:c r="I6" s="26" t="str">
        <x:v>الصور السطحية المميزة</x:v>
      </x:c>
      <x:c r="J6" s="26" t="str">
        <x:v>أنواع POS</x:v>
      </x:c>
      <x:c r="K6" s="26" t="str">
        <x:v>عدد أوزان الفعل</x:v>
      </x:c>
      <x:c r="L6" s="26" t="str">
        <x:v>أوزان الفعل</x:v>
      </x:c>
      <x:c r="M6" s="26" t="str">
        <x:v>التنوع البنيوي</x:v>
      </x:c>
      <x:c r="N6" s="26" t="str">
        <x:v>الأهمية</x:v>
      </x:c>
      <x:c r="O6" s="26" t="str">
        <x:v>درجة التكرار</x:v>
      </x:c>
      <x:c r="P6" s="26" t="str">
        <x:v>درجة التنوع</x:v>
      </x:c>
      <x:c r="Q6" s="26" t="str">
        <x:v>قيمة التفريق</x:v>
      </x:c>
      <x:c r="R6" s="26" t="str">
        <x:v>خطر المعنى المسبق</x:v>
      </x:c>
      <x:c r="S6" s="26" t="str">
        <x:v>قابلية إعادة الاستخدام</x:v>
      </x:c>
      <x:c r="T6" s="26" t="str">
        <x:v>درجة الأولوية</x:v>
      </x:c>
      <x:c r="U6" s="26" t="str">
        <x:v>التغطية المطلوبة</x:v>
      </x:c>
      <x:c r="V6" s="26" t="str">
        <x:v>السياقات الحاسمة المرشحة</x:v>
      </x:c>
      <x:c r="W6" s="26" t="str">
        <x:v>الألفاظ/الجذور القريبة</x:v>
      </x:c>
      <x:c r="X6" s="26" t="str">
        <x:v>الإجراء التالي</x:v>
      </x:c>
      <x:c r="Y6" s="26" t="str">
        <x:v>المصدر</x:v>
      </x:c>
    </x:row>
    <x:row r="7">
      <x:c r="A7" s="60" t="n">
        <x:v>1</x:v>
      </x:c>
      <x:c r="B7" s="60" t="str">
        <x:v>P0 — تعريف مرجعي قائم</x:v>
      </x:c>
      <x:c r="C7" s="60" t="str">
        <x:v>ك ت ب</x:v>
      </x:c>
      <x:c r="D7" s="60" t="str">
        <x:v>التنظيم/الربط/التشريع</x:v>
      </x:c>
      <x:c r="E7" s="60" t="str">
        <x:v>AGREED_WORKING / PROVISIONAL</x:v>
      </x:c>
      <x:c r="F7" s="62" t="n">
        <x:v>319</x:v>
      </x:c>
      <x:c r="G7" s="62" t="n">
        <x:v>61</x:v>
      </x:c>
      <x:c r="H7" s="62" t="n">
        <x:v>7</x:v>
      </x:c>
      <x:c r="I7" s="62" t="n">
        <x:v>61</x:v>
      </x:c>
      <x:c r="J7" s="62" t="n">
        <x:v>2</x:v>
      </x:c>
      <x:c r="K7" s="62" t="n">
        <x:v>3</x:v>
      </x:c>
      <x:c r="L7" s="60" t="str">
        <x:v>1، 3، 8</x:v>
      </x:c>
      <x:c r="M7" s="60" t="str">
        <x:v>مرتفع</x:v>
      </x:c>
      <x:c r="N7" s="64" t="n">
        <x:v>5</x:v>
      </x:c>
      <x:c r="O7" s="64" t="n">
        <x:v>4</x:v>
      </x:c>
      <x:c r="P7" s="64" t="n">
        <x:v>4</x:v>
      </x:c>
      <x:c r="Q7" s="64" t="n">
        <x:v>5</x:v>
      </x:c>
      <x:c r="R7" s="64" t="n">
        <x:v>5</x:v>
      </x:c>
      <x:c r="S7" s="64" t="n">
        <x:v>5</x:v>
      </x:c>
      <x:c r="T7" s="64" t="n">
        <x:f>ROUND(N7*0.30+O7*0.20+P7*0.15+Q7*0.15+R7*0.10+S7*0.10,2)</x:f>
        <x:v>4.65</x:v>
      </x:c>
      <x:c r="U7" s="60" t="str">
        <x:v>≥10 مواضع خصومية متنوعة ثم توسعة مرحلية</x:v>
      </x:c>
      <x:c r="V7" s="60" t="str">
        <x:v>6:12؛ 3:53؛ 2:183؛ 2:79؛ 58:22</x:v>
      </x:c>
      <x:c r="W7" s="60" t="str">
        <x:v>جمع، فرض، ثبت، خطط، سطر، رقم، ربط، عقد، ألف</x:v>
      </x:c>
      <x:c r="X7" s="60" t="str">
        <x:v>توسعة Corpus + مقارنة جمع/ضم/ثبت/خط/سطر/رقم/فرض/عقد/ربط</x:v>
      </x:c>
      <x:c r="Y7" s="60" t="str">
        <x:v>https://corpus.quran.com/qurandictionary.jsp?q=ktb</x:v>
      </x:c>
    </x:row>
    <x:row r="8">
      <x:c r="A8" s="60" t="n">
        <x:v>2</x:v>
      </x:c>
      <x:c r="B8" s="60" t="str">
        <x:v>P0 — تعريف مرجعي قائم</x:v>
      </x:c>
      <x:c r="C8" s="60" t="str">
        <x:v>ن ش ز</x:v>
      </x:c>
      <x:c r="D8" s="60" t="str">
        <x:v>العلاقات/التقارب/الاشتباك</x:v>
      </x:c>
      <x:c r="E8" s="60" t="str">
        <x:v>AGREED / REGRESSION_BACKED</x:v>
      </x:c>
      <x:c r="F8" s="62" t="n">
        <x:v>5</x:v>
      </x:c>
      <x:c r="G8" s="62" t="n">
        <x:v>3</x:v>
      </x:c>
      <x:c r="H8" s="62" t="n">
        <x:v>3</x:v>
      </x:c>
      <x:c r="I8" s="62" t="n">
        <x:v>5</x:v>
      </x:c>
      <x:c r="J8" s="62" t="n">
        <x:v>2</x:v>
      </x:c>
      <x:c r="K8" s="62" t="n">
        <x:v>2</x:v>
      </x:c>
      <x:c r="L8" s="60" t="str">
        <x:v>1، 4</x:v>
      </x:c>
      <x:c r="M8" s="60" t="str">
        <x:v>متوسط</x:v>
      </x:c>
      <x:c r="N8" s="64" t="n">
        <x:v>5</x:v>
      </x:c>
      <x:c r="O8" s="64" t="n">
        <x:v>1</x:v>
      </x:c>
      <x:c r="P8" s="64" t="n">
        <x:v>3</x:v>
      </x:c>
      <x:c r="Q8" s="64" t="n">
        <x:v>5</x:v>
      </x:c>
      <x:c r="R8" s="64" t="n">
        <x:v>5</x:v>
      </x:c>
      <x:c r="S8" s="64" t="n">
        <x:v>5</x:v>
      </x:c>
      <x:c r="T8" s="64" t="n">
        <x:f>ROUND(N8*0.30+O8*0.20+P8*0.15+Q8*0.15+R8*0.10+S8*0.10,2)</x:f>
        <x:v>3.9</x:v>
      </x:c>
      <x:c r="U8" s="60" t="str">
        <x:v>100% من جميع المواضع</x:v>
      </x:c>
      <x:c r="V8" s="60" t="str">
        <x:v>2:259؛ 58:11؛ 4:34؛ 4:128</x:v>
      </x:c>
      <x:c r="W8" s="60" t="str">
        <x:v>عرض (إعراض)، قرب، ضمم، جمع، ربط، ألف</x:v>
      </x:c>
      <x:c r="X8" s="60" t="str">
        <x:v>Nearest-Lexeme Differentiation + Semantic Residue + Counterfactual Substitution</x:v>
      </x:c>
      <x:c r="Y8" s="60" t="str">
        <x:v>https://corpus.quran.com/qurandictionary.jsp?q=n%24z</x:v>
      </x:c>
    </x:row>
    <x:row r="9">
      <x:c r="A9" s="60" t="n">
        <x:v>3</x:v>
      </x:c>
      <x:c r="B9" s="60" t="str">
        <x:v>P1 — أصول تأسيسية عالية الأثر</x:v>
      </x:c>
      <x:c r="C9" s="60" t="str">
        <x:v>أ م ن</x:v>
      </x:c>
      <x:c r="D9" s="60" t="str">
        <x:v>الأمن/الإيمان</x:v>
      </x:c>
      <x:c r="E9" s="60" t="str">
        <x:v>NOT_STARTED</x:v>
      </x:c>
      <x:c r="F9" s="62" t="n">
        <x:v>879</x:v>
      </x:c>
      <x:c r="G9" s="62" t="n">
        <x:v>77</x:v>
      </x:c>
      <x:c r="H9" s="62" t="n">
        <x:v>15</x:v>
      </x:c>
      <x:c r="I9" s="62" t="n">
        <x:v>151</x:v>
      </x:c>
      <x:c r="J9" s="62" t="n">
        <x:v>2</x:v>
      </x:c>
      <x:c r="K9" s="62" t="n">
        <x:v>3</x:v>
      </x:c>
      <x:c r="L9" s="60" t="str">
        <x:v>1، 4، 8</x:v>
      </x:c>
      <x:c r="M9" s="60" t="str">
        <x:v>مرتفع جدًا</x:v>
      </x:c>
      <x:c r="N9" s="64" t="n">
        <x:v>5</x:v>
      </x:c>
      <x:c r="O9" s="64" t="n">
        <x:v>5</x:v>
      </x:c>
      <x:c r="P9" s="64" t="n">
        <x:v>5</x:v>
      </x:c>
      <x:c r="Q9" s="64" t="n">
        <x:v>5</x:v>
      </x:c>
      <x:c r="R9" s="64" t="n">
        <x:v>5</x:v>
      </x:c>
      <x:c r="S9" s="64" t="n">
        <x:v>5</x:v>
      </x:c>
      <x:c r="T9" s="64" t="n">
        <x:f>ROUND(N9*0.30+O9*0.20+P9*0.15+Q9*0.15+R9*0.10+S9*0.10,2)</x:f>
        <x:v>5</x:v>
      </x:c>
      <x:c r="U9" s="60" t="str">
        <x:v>≥10 مواضع خصومية متنوعة ثم توسعة مرحلية</x:v>
      </x:c>
      <x:c r="V9" s="60" t="str">
        <x:v>2:3؛ 106:4؛ 4:83؛ 12:17</x:v>
      </x:c>
      <x:c r="W9" s="60" t="str">
        <x:v>صدق، سلم، كفر، خوف</x:v>
      </x:c>
      <x:c r="X9" s="60" t="str">
        <x:v>Blind Discovery → Falsification → Lexical Differentiation → LOCK</x:v>
      </x:c>
      <x:c r="Y9" s="60" t="str">
        <x:v>https://corpus.quran.com/qurandictionary.jsp?q=Amn</x:v>
      </x:c>
    </x:row>
    <x:row r="10">
      <x:c r="A10" s="60" t="n">
        <x:v>4</x:v>
      </x:c>
      <x:c r="B10" s="60" t="str">
        <x:v>P1 — أصول تأسيسية عالية الأثر</x:v>
      </x:c>
      <x:c r="C10" s="60" t="str">
        <x:v>ك ف ر</x:v>
      </x:c>
      <x:c r="D10" s="60" t="str">
        <x:v>الكفر/الستر أو الجحود محل اختبار</x:v>
      </x:c>
      <x:c r="E10" s="60" t="str">
        <x:v>NOT_STARTED</x:v>
      </x:c>
      <x:c r="F10" s="62" t="n">
        <x:v>525</x:v>
      </x:c>
      <x:c r="G10" s="62" t="n">
        <x:v>77</x:v>
      </x:c>
      <x:c r="H10" s="62" t="n">
        <x:v>13</x:v>
      </x:c>
      <x:c r="I10" s="62" t="n">
        <x:v>110</x:v>
      </x:c>
      <x:c r="J10" s="62" t="n">
        <x:v>2</x:v>
      </x:c>
      <x:c r="K10" s="62" t="n">
        <x:v>3</x:v>
      </x:c>
      <x:c r="L10" s="60" t="str">
        <x:v>1، 2، 4</x:v>
      </x:c>
      <x:c r="M10" s="60" t="str">
        <x:v>مرتفع جدًا</x:v>
      </x:c>
      <x:c r="N10" s="64" t="n">
        <x:v>5</x:v>
      </x:c>
      <x:c r="O10" s="64" t="n">
        <x:v>5</x:v>
      </x:c>
      <x:c r="P10" s="64" t="n">
        <x:v>5</x:v>
      </x:c>
      <x:c r="Q10" s="64" t="n">
        <x:v>5</x:v>
      </x:c>
      <x:c r="R10" s="64" t="n">
        <x:v>5</x:v>
      </x:c>
      <x:c r="S10" s="64" t="n">
        <x:v>5</x:v>
      </x:c>
      <x:c r="T10" s="64" t="n">
        <x:f>ROUND(N10*0.30+O10*0.20+P10*0.15+Q10*0.15+R10*0.10+S10*0.10,2)</x:f>
        <x:v>5</x:v>
      </x:c>
      <x:c r="U10" s="60" t="str">
        <x:v>≥10 مواضع خصومية متنوعة ثم توسعة مرحلية</x:v>
      </x:c>
      <x:c r="V10" s="60" t="str">
        <x:v>14:7؛ 31:12؛ 29:25؛ 2:257</x:v>
      </x:c>
      <x:c r="W10" s="60" t="str">
        <x:v>أمن، شكر، جحد، ستر</x:v>
      </x:c>
      <x:c r="X10" s="60" t="str">
        <x:v>Blind Discovery → Falsification → Lexical Differentiation → LOCK</x:v>
      </x:c>
      <x:c r="Y10" s="60" t="str">
        <x:v>https://corpus.quran.com/qurandictionary.jsp?q=kfr</x:v>
      </x:c>
    </x:row>
    <x:row r="11">
      <x:c r="A11" s="60" t="n">
        <x:v>5</x:v>
      </x:c>
      <x:c r="B11" s="60" t="str">
        <x:v>P1 — أصول تأسيسية عالية الأثر</x:v>
      </x:c>
      <x:c r="C11" s="60" t="str">
        <x:v>ع ل م</x:v>
      </x:c>
      <x:c r="D11" s="60" t="str">
        <x:v>المعرفة/الإدراك</x:v>
      </x:c>
      <x:c r="E11" s="60" t="str">
        <x:v>NOT_STARTED</x:v>
      </x:c>
      <x:c r="F11" s="62" t="n">
        <x:v>854</x:v>
      </x:c>
      <x:c r="G11" s="62" t="n">
        <x:v>85</x:v>
      </x:c>
      <x:c r="H11" s="62" t="n">
        <x:v>14</x:v>
      </x:c>
      <x:c r="I11" s="62" t="n">
        <x:v>161</x:v>
      </x:c>
      <x:c r="J11" s="62" t="n">
        <x:v>2</x:v>
      </x:c>
      <x:c r="K11" s="62" t="n">
        <x:v>3</x:v>
      </x:c>
      <x:c r="L11" s="60" t="str">
        <x:v>1، 2، 5</x:v>
      </x:c>
      <x:c r="M11" s="60" t="str">
        <x:v>مرتفع جدًا</x:v>
      </x:c>
      <x:c r="N11" s="64" t="n">
        <x:v>5</x:v>
      </x:c>
      <x:c r="O11" s="64" t="n">
        <x:v>5</x:v>
      </x:c>
      <x:c r="P11" s="64" t="n">
        <x:v>5</x:v>
      </x:c>
      <x:c r="Q11" s="64" t="n">
        <x:v>5</x:v>
      </x:c>
      <x:c r="R11" s="64" t="n">
        <x:v>4</x:v>
      </x:c>
      <x:c r="S11" s="64" t="n">
        <x:v>5</x:v>
      </x:c>
      <x:c r="T11" s="64" t="n">
        <x:f>ROUND(N11*0.30+O11*0.20+P11*0.15+Q11*0.15+R11*0.10+S11*0.10,2)</x:f>
        <x:v>4.9</x:v>
      </x:c>
      <x:c r="U11" s="60" t="str">
        <x:v>≥10 مواضع خصومية متنوعة ثم توسعة مرحلية</x:v>
      </x:c>
      <x:c r="V11" s="60" t="str">
        <x:v>2:31؛ 96:4؛ 12:76؛ 4:166</x:v>
      </x:c>
      <x:c r="W11" s="60" t="str">
        <x:v>عرف، فقه، عقل، بين، رأي</x:v>
      </x:c>
      <x:c r="X11" s="60" t="str">
        <x:v>Blind Discovery → Falsification → Lexical Differentiation → LOCK</x:v>
      </x:c>
      <x:c r="Y11" s="60" t="str">
        <x:v>https://corpus.quran.com/qurandictionary.jsp?q=Elm</x:v>
      </x:c>
    </x:row>
    <x:row r="12">
      <x:c r="A12" s="60" t="n">
        <x:v>6</x:v>
      </x:c>
      <x:c r="B12" s="60" t="str">
        <x:v>P1 — أصول تأسيسية عالية الأثر</x:v>
      </x:c>
      <x:c r="C12" s="60" t="str">
        <x:v>ب ي ن</x:v>
      </x:c>
      <x:c r="D12" s="60" t="str">
        <x:v>البيان/الفصل</x:v>
      </x:c>
      <x:c r="E12" s="60" t="str">
        <x:v>NOT_STARTED</x:v>
      </x:c>
      <x:c r="F12" s="62" t="n">
        <x:v>523</x:v>
      </x:c>
      <x:c r="G12" s="62" t="n">
        <x:v>71</x:v>
      </x:c>
      <x:c r="H12" s="62" t="n">
        <x:v>12</x:v>
      </x:c>
      <x:c r="I12" s="62" t="n">
        <x:v>86</x:v>
      </x:c>
      <x:c r="J12" s="62" t="n">
        <x:v>2</x:v>
      </x:c>
      <x:c r="K12" s="62" t="n">
        <x:v>4</x:v>
      </x:c>
      <x:c r="L12" s="60" t="str">
        <x:v>2، 4، 5، 10</x:v>
      </x:c>
      <x:c r="M12" s="60" t="str">
        <x:v>مرتفع جدًا</x:v>
      </x:c>
      <x:c r="N12" s="64" t="n">
        <x:v>5</x:v>
      </x:c>
      <x:c r="O12" s="64" t="n">
        <x:v>5</x:v>
      </x:c>
      <x:c r="P12" s="64" t="n">
        <x:v>5</x:v>
      </x:c>
      <x:c r="Q12" s="64" t="n">
        <x:v>5</x:v>
      </x:c>
      <x:c r="R12" s="64" t="n">
        <x:v>4</x:v>
      </x:c>
      <x:c r="S12" s="64" t="n">
        <x:v>5</x:v>
      </x:c>
      <x:c r="T12" s="64" t="n">
        <x:f>ROUND(N12*0.30+O12*0.20+P12*0.15+Q12*0.15+R12*0.10+S12*0.10,2)</x:f>
        <x:v>4.9</x:v>
      </x:c>
      <x:c r="U12" s="60" t="str">
        <x:v>≥10 مواضع خصومية متنوعة ثم توسعة مرحلية</x:v>
      </x:c>
      <x:c r="V12" s="60" t="str">
        <x:v>16:44؛ 55:4؛ 2:185؛ 3:138</x:v>
      </x:c>
      <x:c r="W12" s="60" t="str">
        <x:v>علم، فرق، حقق، شهد</x:v>
      </x:c>
      <x:c r="X12" s="60" t="str">
        <x:v>Blind Discovery → Falsification → Lexical Differentiation → LOCK</x:v>
      </x:c>
      <x:c r="Y12" s="60" t="str">
        <x:v>https://corpus.quran.com/qurandictionary.jsp?q=byn</x:v>
      </x:c>
    </x:row>
    <x:row r="13">
      <x:c r="A13" s="60" t="n">
        <x:v>7</x:v>
      </x:c>
      <x:c r="B13" s="60" t="str">
        <x:v>P1 — أصول تأسيسية عالية الأثر</x:v>
      </x:c>
      <x:c r="C13" s="60" t="str">
        <x:v>ه د ي</x:v>
      </x:c>
      <x:c r="D13" s="60" t="str">
        <x:v>الهداية/الاتجاه</x:v>
      </x:c>
      <x:c r="E13" s="60" t="str">
        <x:v>NOT_STARTED</x:v>
      </x:c>
      <x:c r="F13" s="62" t="n">
        <x:v>316</x:v>
      </x:c>
      <x:c r="G13" s="62" t="n">
        <x:v>62</x:v>
      </x:c>
      <x:c r="H13" s="62" t="n">
        <x:v>11</x:v>
      </x:c>
      <x:c r="I13" s="62" t="n">
        <x:v>116</x:v>
      </x:c>
      <x:c r="J13" s="62" t="n">
        <x:v>2</x:v>
      </x:c>
      <x:c r="K13" s="62" t="n">
        <x:v>2</x:v>
      </x:c>
      <x:c r="L13" s="60" t="str">
        <x:v>1، 8</x:v>
      </x:c>
      <x:c r="M13" s="60" t="str">
        <x:v>مرتفع جدًا</x:v>
      </x:c>
      <x:c r="N13" s="64" t="n">
        <x:v>5</x:v>
      </x:c>
      <x:c r="O13" s="64" t="n">
        <x:v>4</x:v>
      </x:c>
      <x:c r="P13" s="64" t="n">
        <x:v>5</x:v>
      </x:c>
      <x:c r="Q13" s="64" t="n">
        <x:v>5</x:v>
      </x:c>
      <x:c r="R13" s="64" t="n">
        <x:v>5</x:v>
      </x:c>
      <x:c r="S13" s="64" t="n">
        <x:v>5</x:v>
      </x:c>
      <x:c r="T13" s="64" t="n">
        <x:f>ROUND(N13*0.30+O13*0.20+P13*0.15+Q13*0.15+R13*0.10+S13*0.10,2)</x:f>
        <x:v>4.8</x:v>
      </x:c>
      <x:c r="U13" s="60" t="str">
        <x:v>≥10 مواضع خصومية متنوعة ثم توسعة مرحلية</x:v>
      </x:c>
      <x:c r="V13" s="60" t="str">
        <x:v>20:50؛ 2:2؛ 28:56؛ 6:71</x:v>
      </x:c>
      <x:c r="W13" s="60" t="str">
        <x:v>ضلل، رشد، بين، علم</x:v>
      </x:c>
      <x:c r="X13" s="60" t="str">
        <x:v>Blind Discovery → Falsification → Lexical Differentiation → LOCK</x:v>
      </x:c>
      <x:c r="Y13" s="60" t="str">
        <x:v>https://corpus.quran.com/qurandictionary.jsp?q=hdy</x:v>
      </x:c>
    </x:row>
    <x:row r="14">
      <x:c r="A14" s="60" t="n">
        <x:v>8</x:v>
      </x:c>
      <x:c r="B14" s="60" t="str">
        <x:v>P1 — أصول تأسيسية عالية الأثر</x:v>
      </x:c>
      <x:c r="C14" s="60" t="str">
        <x:v>ظ ل م</x:v>
      </x:c>
      <x:c r="D14" s="60" t="str">
        <x:v>الظلم/النقص أو التعدي محل اختبار</x:v>
      </x:c>
      <x:c r="E14" s="60" t="str">
        <x:v>NOT_STARTED</x:v>
      </x:c>
      <x:c r="F14" s="62" t="n">
        <x:v>315</x:v>
      </x:c>
      <x:c r="G14" s="62" t="n">
        <x:v>59</x:v>
      </x:c>
      <x:c r="H14" s="62" t="n">
        <x:v>12</x:v>
      </x:c>
      <x:c r="I14" s="62" t="n">
        <x:v>74</x:v>
      </x:c>
      <x:c r="J14" s="62" t="n">
        <x:v>2</x:v>
      </x:c>
      <x:c r="K14" s="62" t="n">
        <x:v>2</x:v>
      </x:c>
      <x:c r="L14" s="60" t="str">
        <x:v>1، 4</x:v>
      </x:c>
      <x:c r="M14" s="60" t="str">
        <x:v>مرتفع جدًا</x:v>
      </x:c>
      <x:c r="N14" s="64" t="n">
        <x:v>5</x:v>
      </x:c>
      <x:c r="O14" s="64" t="n">
        <x:v>4</x:v>
      </x:c>
      <x:c r="P14" s="64" t="n">
        <x:v>5</x:v>
      </x:c>
      <x:c r="Q14" s="64" t="n">
        <x:v>5</x:v>
      </x:c>
      <x:c r="R14" s="64" t="n">
        <x:v>5</x:v>
      </x:c>
      <x:c r="S14" s="64" t="n">
        <x:v>5</x:v>
      </x:c>
      <x:c r="T14" s="64" t="n">
        <x:f>ROUND(N14*0.30+O14*0.20+P14*0.15+Q14*0.15+R14*0.10+S14*0.10,2)</x:f>
        <x:v>4.8</x:v>
      </x:c>
      <x:c r="U14" s="60" t="str">
        <x:v>≥10 مواضع خصومية متنوعة ثم توسعة مرحلية</x:v>
      </x:c>
      <x:c r="V14" s="60" t="str">
        <x:v>18:33؛ 2:57؛ 31:13؛ 4:40</x:v>
      </x:c>
      <x:c r="W14" s="60" t="str">
        <x:v>عدل، قسط، حقق</x:v>
      </x:c>
      <x:c r="X14" s="60" t="str">
        <x:v>Blind Discovery → Falsification → Lexical Differentiation → LOCK</x:v>
      </x:c>
      <x:c r="Y14" s="60" t="str">
        <x:v>https://corpus.quran.com/qurandictionary.jsp?q=Zlm</x:v>
      </x:c>
    </x:row>
    <x:row r="15">
      <x:c r="A15" s="60" t="n">
        <x:v>9</x:v>
      </x:c>
      <x:c r="B15" s="60" t="str">
        <x:v>P1 — أصول تأسيسية عالية الأثر</x:v>
      </x:c>
      <x:c r="C15" s="60" t="str">
        <x:v>ح ك م</x:v>
      </x:c>
      <x:c r="D15" s="60" t="str">
        <x:v>الحكم/الإحكام</x:v>
      </x:c>
      <x:c r="E15" s="60" t="str">
        <x:v>NOT_STARTED</x:v>
      </x:c>
      <x:c r="F15" s="62" t="n">
        <x:v>210</x:v>
      </x:c>
      <x:c r="G15" s="62" t="n">
        <x:v>57</x:v>
      </x:c>
      <x:c r="H15" s="62" t="n">
        <x:v>12</x:v>
      </x:c>
      <x:c r="I15" s="62" t="n">
        <x:v>56</x:v>
      </x:c>
      <x:c r="J15" s="62" t="n">
        <x:v>2</x:v>
      </x:c>
      <x:c r="K15" s="62" t="n">
        <x:v>4</x:v>
      </x:c>
      <x:c r="L15" s="60" t="str">
        <x:v>1، 2، 4، 6</x:v>
      </x:c>
      <x:c r="M15" s="60" t="str">
        <x:v>مرتفع جدًا</x:v>
      </x:c>
      <x:c r="N15" s="64" t="n">
        <x:v>5</x:v>
      </x:c>
      <x:c r="O15" s="64" t="n">
        <x:v>4</x:v>
      </x:c>
      <x:c r="P15" s="64" t="n">
        <x:v>5</x:v>
      </x:c>
      <x:c r="Q15" s="64" t="n">
        <x:v>5</x:v>
      </x:c>
      <x:c r="R15" s="64" t="n">
        <x:v>5</x:v>
      </x:c>
      <x:c r="S15" s="64" t="n">
        <x:v>5</x:v>
      </x:c>
      <x:c r="T15" s="64" t="n">
        <x:f>ROUND(N15*0.30+O15*0.20+P15*0.15+Q15*0.15+R15*0.10+S15*0.10,2)</x:f>
        <x:v>4.8</x:v>
      </x:c>
      <x:c r="U15" s="60" t="str">
        <x:v>≥10 مواضع خصومية متنوعة ثم توسعة مرحلية</x:v>
      </x:c>
      <x:c r="V15" s="60" t="str">
        <x:v>11:1؛ 4:65؛ 12:40؛ 21:78</x:v>
      </x:c>
      <x:c r="W15" s="60" t="str">
        <x:v>قضي، أمر، حقق، عدل</x:v>
      </x:c>
      <x:c r="X15" s="60" t="str">
        <x:v>Blind Discovery → Falsification → Lexical Differentiation → LOCK</x:v>
      </x:c>
      <x:c r="Y15" s="60" t="str">
        <x:v>https://corpus.quran.com/qurandictionary.jsp?q=Hkm</x:v>
      </x:c>
    </x:row>
    <x:row r="16">
      <x:c r="A16" s="60" t="n">
        <x:v>10</x:v>
      </x:c>
      <x:c r="B16" s="60" t="str">
        <x:v>P1 — أصول تأسيسية عالية الأثر</x:v>
      </x:c>
      <x:c r="C16" s="60" t="str">
        <x:v>خ ل ق</x:v>
      </x:c>
      <x:c r="D16" s="60" t="str">
        <x:v>الإيجاد/التكوين</x:v>
      </x:c>
      <x:c r="E16" s="60" t="str">
        <x:v>NOT_STARTED</x:v>
      </x:c>
      <x:c r="F16" s="62" t="n">
        <x:v>261</x:v>
      </x:c>
      <x:c r="G16" s="62" t="n">
        <x:v>75</x:v>
      </x:c>
      <x:c r="H16" s="62" t="n">
        <x:v>8</x:v>
      </x:c>
      <x:c r="I16" s="62" t="n">
        <x:v>81</x:v>
      </x:c>
      <x:c r="J16" s="62" t="n">
        <x:v>2</x:v>
      </x:c>
      <x:c r="K16" s="62" t="n">
        <x:v>3</x:v>
      </x:c>
      <x:c r="L16" s="60" t="str">
        <x:v>1، 2، 8</x:v>
      </x:c>
      <x:c r="M16" s="60" t="str">
        <x:v>مرتفع</x:v>
      </x:c>
      <x:c r="N16" s="64" t="n">
        <x:v>5</x:v>
      </x:c>
      <x:c r="O16" s="64" t="n">
        <x:v>4</x:v>
      </x:c>
      <x:c r="P16" s="64" t="n">
        <x:v>4</x:v>
      </x:c>
      <x:c r="Q16" s="64" t="n">
        <x:v>5</x:v>
      </x:c>
      <x:c r="R16" s="64" t="n">
        <x:v>5</x:v>
      </x:c>
      <x:c r="S16" s="64" t="n">
        <x:v>5</x:v>
      </x:c>
      <x:c r="T16" s="64" t="n">
        <x:f>ROUND(N16*0.30+O16*0.20+P16*0.15+Q16*0.15+R16*0.10+S16*0.10,2)</x:f>
        <x:v>4.65</x:v>
      </x:c>
      <x:c r="U16" s="60" t="str">
        <x:v>≥10 مواضع خصومية متنوعة ثم توسعة مرحلية</x:v>
      </x:c>
      <x:c r="V16" s="60" t="str">
        <x:v>4:1؛ 23:14؛ 29:17؛ 20:50</x:v>
      </x:c>
      <x:c r="W16" s="60" t="str">
        <x:v>جعل، صنع، فعل، فطر</x:v>
      </x:c>
      <x:c r="X16" s="60" t="str">
        <x:v>Blind Discovery → Falsification → Lexical Differentiation → LOCK</x:v>
      </x:c>
      <x:c r="Y16" s="60" t="str">
        <x:v>https://corpus.quran.com/qurandictionary.jsp?q=xlq</x:v>
      </x:c>
    </x:row>
    <x:row r="17">
      <x:c r="A17" s="60" t="n">
        <x:v>11</x:v>
      </x:c>
      <x:c r="B17" s="60" t="str">
        <x:v>P1 — أصول تأسيسية عالية الأثر</x:v>
      </x:c>
      <x:c r="C17" s="60" t="str">
        <x:v>ق و ل</x:v>
      </x:c>
      <x:c r="D17" s="60" t="str">
        <x:v>القول/الإفصاح</x:v>
      </x:c>
      <x:c r="E17" s="60" t="str">
        <x:v>NOT_STARTED</x:v>
      </x:c>
      <x:c r="F17" s="62" t="n">
        <x:v>1722</x:v>
      </x:c>
      <x:c r="G17" s="62" t="n">
        <x:v>84</x:v>
      </x:c>
      <x:c r="H17" s="62" t="n">
        <x:v>6</x:v>
      </x:c>
      <x:c r="I17" s="62" t="n">
        <x:v>146</x:v>
      </x:c>
      <x:c r="J17" s="62" t="n">
        <x:v>2</x:v>
      </x:c>
      <x:c r="K17" s="62" t="n">
        <x:v>2</x:v>
      </x:c>
      <x:c r="L17" s="60" t="str">
        <x:v>1، 5</x:v>
      </x:c>
      <x:c r="M17" s="60" t="str">
        <x:v>متوسط</x:v>
      </x:c>
      <x:c r="N17" s="64" t="n">
        <x:v>5</x:v>
      </x:c>
      <x:c r="O17" s="64" t="n">
        <x:v>5</x:v>
      </x:c>
      <x:c r="P17" s="64" t="n">
        <x:v>3</x:v>
      </x:c>
      <x:c r="Q17" s="64" t="n">
        <x:v>5</x:v>
      </x:c>
      <x:c r="R17" s="64" t="n">
        <x:v>4</x:v>
      </x:c>
      <x:c r="S17" s="64" t="n">
        <x:v>5</x:v>
      </x:c>
      <x:c r="T17" s="64" t="n">
        <x:f>ROUND(N17*0.30+O17*0.20+P17*0.15+Q17*0.15+R17*0.10+S17*0.10,2)</x:f>
        <x:v>4.6</x:v>
      </x:c>
      <x:c r="U17" s="60" t="str">
        <x:v>≥10 مواضع خصومية متنوعة ثم توسعة مرحلية</x:v>
      </x:c>
      <x:c r="V17" s="60" t="str">
        <x:v>33:70؛ 2:8؛ 36:82؛ 4:148</x:v>
      </x:c>
      <x:c r="W17" s="60" t="str">
        <x:v>كلام، نطق، دعو</x:v>
      </x:c>
      <x:c r="X17" s="60" t="str">
        <x:v>Blind Discovery → Falsification → Lexical Differentiation → LOCK</x:v>
      </x:c>
      <x:c r="Y17" s="60" t="str">
        <x:v>https://corpus.quran.com/qurandictionary.jsp?q=qwl</x:v>
      </x:c>
    </x:row>
    <x:row r="18">
      <x:c r="A18" s="60" t="n">
        <x:v>12</x:v>
      </x:c>
      <x:c r="B18" s="60" t="str">
        <x:v>P1 — أصول تأسيسية عالية الأثر</x:v>
      </x:c>
      <x:c r="C18" s="60" t="str">
        <x:v>ق د ر</x:v>
      </x:c>
      <x:c r="D18" s="60" t="str">
        <x:v>التقدير/المقدار</x:v>
      </x:c>
      <x:c r="E18" s="60" t="str">
        <x:v>NOT_STARTED</x:v>
      </x:c>
      <x:c r="F18" s="62" t="n">
        <x:v>132</x:v>
      </x:c>
      <x:c r="G18" s="62" t="n">
        <x:v>58</x:v>
      </x:c>
      <x:c r="H18" s="62" t="n">
        <x:v>11</x:v>
      </x:c>
      <x:c r="I18" s="62" t="n">
        <x:v>55</x:v>
      </x:c>
      <x:c r="J18" s="62" t="n">
        <x:v>2</x:v>
      </x:c>
      <x:c r="K18" s="62" t="n">
        <x:v>3</x:v>
      </x:c>
      <x:c r="L18" s="60" t="str">
        <x:v>1، 2، 8</x:v>
      </x:c>
      <x:c r="M18" s="60" t="str">
        <x:v>مرتفع جدًا</x:v>
      </x:c>
      <x:c r="N18" s="64" t="n">
        <x:v>5</x:v>
      </x:c>
      <x:c r="O18" s="64" t="n">
        <x:v>3</x:v>
      </x:c>
      <x:c r="P18" s="64" t="n">
        <x:v>5</x:v>
      </x:c>
      <x:c r="Q18" s="64" t="n">
        <x:v>5</x:v>
      </x:c>
      <x:c r="R18" s="64" t="n">
        <x:v>5</x:v>
      </x:c>
      <x:c r="S18" s="64" t="n">
        <x:v>5</x:v>
      </x:c>
      <x:c r="T18" s="64" t="n">
        <x:f>ROUND(N18*0.30+O18*0.20+P18*0.15+Q18*0.15+R18*0.10+S18*0.10,2)</x:f>
        <x:v>4.6</x:v>
      </x:c>
      <x:c r="U18" s="60" t="str">
        <x:v>≥10 مواضع خصومية متنوعة ثم توسعة مرحلية</x:v>
      </x:c>
      <x:c r="V18" s="60" t="str">
        <x:v>15:21؛ 54:49؛ 65:3؛ 87:3؛ 89:16</x:v>
      </x:c>
      <x:c r="W18" s="60" t="str">
        <x:v>قضي، حكم، كتب، جعل، فرض</x:v>
      </x:c>
      <x:c r="X18" s="60" t="str">
        <x:v>Blind Discovery → Falsification → Lexical Differentiation → LOCK</x:v>
      </x:c>
      <x:c r="Y18" s="60" t="str">
        <x:v>https://corpus.quran.com/qurandictionary.jsp?q=qdr</x:v>
      </x:c>
    </x:row>
    <x:row r="19">
      <x:c r="A19" s="60" t="n">
        <x:v>13</x:v>
      </x:c>
      <x:c r="B19" s="60" t="str">
        <x:v>P1 — أصول تأسيسية عالية الأثر</x:v>
      </x:c>
      <x:c r="C19" s="60" t="str">
        <x:v>ش ي أ (شاء/شيء)</x:v>
      </x:c>
      <x:c r="D19" s="60" t="str">
        <x:v>المشيئة/الشيء</x:v>
      </x:c>
      <x:c r="E19" s="60" t="str">
        <x:v>NOT_STARTED</x:v>
      </x:c>
      <x:c r="F19" s="62" t="n">
        <x:v>519</x:v>
      </x:c>
      <x:c r="G19" s="62" t="n">
        <x:v>73</x:v>
      </x:c>
      <x:c r="H19" s="62" t="n">
        <x:v>2</x:v>
      </x:c>
      <x:c r="I19" s="62" t="n">
        <x:v>29</x:v>
      </x:c>
      <x:c r="J19" s="62" t="n">
        <x:v>2</x:v>
      </x:c>
      <x:c r="K19" s="62" t="n">
        <x:v>1</x:v>
      </x:c>
      <x:c r="L19" s="60" t="str">
        <x:v>1</x:v>
      </x:c>
      <x:c r="M19" s="60" t="str">
        <x:v>محدود</x:v>
      </x:c>
      <x:c r="N19" s="64" t="n">
        <x:v>5</x:v>
      </x:c>
      <x:c r="O19" s="64" t="n">
        <x:v>5</x:v>
      </x:c>
      <x:c r="P19" s="64" t="n">
        <x:v>2</x:v>
      </x:c>
      <x:c r="Q19" s="64" t="n">
        <x:v>5</x:v>
      </x:c>
      <x:c r="R19" s="64" t="n">
        <x:v>5</x:v>
      </x:c>
      <x:c r="S19" s="64" t="n">
        <x:v>5</x:v>
      </x:c>
      <x:c r="T19" s="64" t="n">
        <x:f>ROUND(N19*0.30+O19*0.20+P19*0.15+Q19*0.15+R19*0.10+S19*0.10,2)</x:f>
        <x:v>4.55</x:v>
      </x:c>
      <x:c r="U19" s="60" t="str">
        <x:v>≥10 مواضع خصومية متنوعة ثم توسعة مرحلية</x:v>
      </x:c>
      <x:c r="V19" s="60" t="str">
        <x:v>18:39؛ 76:30؛ 36:82؛ 6:35</x:v>
      </x:c>
      <x:c r="W19" s="60" t="str">
        <x:v>رود، قدر، أمر، كون</x:v>
      </x:c>
      <x:c r="X19" s="60" t="str">
        <x:v>Blind Discovery → Falsification → Lexical Differentiation → LOCK</x:v>
      </x:c>
      <x:c r="Y19" s="60" t="str">
        <x:v>https://corpus.quran.com/qurandictionary.jsp?q=%24yA</x:v>
      </x:c>
    </x:row>
    <x:row r="20">
      <x:c r="A20" s="60" t="n">
        <x:v>14</x:v>
      </x:c>
      <x:c r="B20" s="60" t="str">
        <x:v>P1 — أصول تأسيسية عالية الأثر</x:v>
      </x:c>
      <x:c r="C20" s="60" t="str">
        <x:v>ح ق ق</x:v>
      </x:c>
      <x:c r="D20" s="60" t="str">
        <x:v>الحق/التحقق</x:v>
      </x:c>
      <x:c r="E20" s="60" t="str">
        <x:v>NOT_STARTED</x:v>
      </x:c>
      <x:c r="F20" s="62" t="n">
        <x:v>287</x:v>
      </x:c>
      <x:c r="G20" s="62" t="n">
        <x:v>59</x:v>
      </x:c>
      <x:c r="H20" s="62" t="n">
        <x:v>7</x:v>
      </x:c>
      <x:c r="I20" s="62" t="n">
        <x:v>33</x:v>
      </x:c>
      <x:c r="J20" s="62" t="n">
        <x:v>2</x:v>
      </x:c>
      <x:c r="K20" s="62" t="n">
        <x:v>3</x:v>
      </x:c>
      <x:c r="L20" s="60" t="str">
        <x:v>1، 4، 10</x:v>
      </x:c>
      <x:c r="M20" s="60" t="str">
        <x:v>مرتفع</x:v>
      </x:c>
      <x:c r="N20" s="64" t="n">
        <x:v>5</x:v>
      </x:c>
      <x:c r="O20" s="64" t="n">
        <x:v>4</x:v>
      </x:c>
      <x:c r="P20" s="64" t="n">
        <x:v>4</x:v>
      </x:c>
      <x:c r="Q20" s="64" t="n">
        <x:v>5</x:v>
      </x:c>
      <x:c r="R20" s="64" t="n">
        <x:v>4</x:v>
      </x:c>
      <x:c r="S20" s="64" t="n">
        <x:v>5</x:v>
      </x:c>
      <x:c r="T20" s="64" t="n">
        <x:f>ROUND(N20*0.30+O20*0.20+P20*0.15+Q20*0.15+R20*0.10+S20*0.10,2)</x:f>
        <x:v>4.55</x:v>
      </x:c>
      <x:c r="U20" s="60" t="str">
        <x:v>≥10 مواضع خصومية متنوعة ثم توسعة مرحلية</x:v>
      </x:c>
      <x:c r="V20" s="60" t="str">
        <x:v>10:32؛ 8:8؛ 69:1؛ 22:6</x:v>
      </x:c>
      <x:c r="W20" s="60" t="str">
        <x:v>صدق، حكم، ثبت، باطل</x:v>
      </x:c>
      <x:c r="X20" s="60" t="str">
        <x:v>Blind Discovery → Falsification → Lexical Differentiation → LOCK</x:v>
      </x:c>
      <x:c r="Y20" s="60" t="str">
        <x:v>https://corpus.quran.com/qurandictionary.jsp?q=Hqq</x:v>
      </x:c>
    </x:row>
    <x:row r="21">
      <x:c r="A21" s="60" t="n">
        <x:v>15</x:v>
      </x:c>
      <x:c r="B21" s="60" t="str">
        <x:v>P1 — أصول تأسيسية عالية الأثر</x:v>
      </x:c>
      <x:c r="C21" s="60" t="str">
        <x:v>أ م ر</x:v>
      </x:c>
      <x:c r="D21" s="60" t="str">
        <x:v>الأمر/الشأن</x:v>
      </x:c>
      <x:c r="E21" s="60" t="str">
        <x:v>NOT_STARTED</x:v>
      </x:c>
      <x:c r="F21" s="62" t="n">
        <x:v>248</x:v>
      </x:c>
      <x:c r="G21" s="62" t="n">
        <x:v>61</x:v>
      </x:c>
      <x:c r="H21" s="62" t="n">
        <x:v>6</x:v>
      </x:c>
      <x:c r="I21" s="62" t="n">
        <x:v>83</x:v>
      </x:c>
      <x:c r="J21" s="62" t="n">
        <x:v>2</x:v>
      </x:c>
      <x:c r="K21" s="62" t="n">
        <x:v>2</x:v>
      </x:c>
      <x:c r="L21" s="60" t="str">
        <x:v>1، 8</x:v>
      </x:c>
      <x:c r="M21" s="60" t="str">
        <x:v>متوسط</x:v>
      </x:c>
      <x:c r="N21" s="64" t="n">
        <x:v>5</x:v>
      </x:c>
      <x:c r="O21" s="64" t="n">
        <x:v>4</x:v>
      </x:c>
      <x:c r="P21" s="64" t="n">
        <x:v>3</x:v>
      </x:c>
      <x:c r="Q21" s="64" t="n">
        <x:v>5</x:v>
      </x:c>
      <x:c r="R21" s="64" t="n">
        <x:v>5</x:v>
      </x:c>
      <x:c r="S21" s="64" t="n">
        <x:v>5</x:v>
      </x:c>
      <x:c r="T21" s="64" t="n">
        <x:f>ROUND(N21*0.30+O21*0.20+P21*0.15+Q21*0.15+R21*0.10+S21*0.10,2)</x:f>
        <x:v>4.5</x:v>
      </x:c>
      <x:c r="U21" s="60" t="str">
        <x:v>≥10 مواضع خصومية متنوعة ثم توسعة مرحلية</x:v>
      </x:c>
      <x:c r="V21" s="60" t="str">
        <x:v>36:82؛ 7:54؛ 18:82؛ 65:12</x:v>
      </x:c>
      <x:c r="W21" s="60" t="str">
        <x:v>حكم، قضي، كتب، فرض، قول</x:v>
      </x:c>
      <x:c r="X21" s="60" t="str">
        <x:v>Blind Discovery → Falsification → Lexical Differentiation → LOCK</x:v>
      </x:c>
      <x:c r="Y21" s="60" t="str">
        <x:v>https://corpus.quran.com/qurandictionary.jsp?q=Amr</x:v>
      </x:c>
    </x:row>
    <x:row r="22">
      <x:c r="A22" s="60" t="n">
        <x:v>16</x:v>
      </x:c>
      <x:c r="B22" s="60" t="str">
        <x:v>P1 — أصول تأسيسية عالية الأثر</x:v>
      </x:c>
      <x:c r="C22" s="60" t="str">
        <x:v>ك و ن</x:v>
      </x:c>
      <x:c r="D22" s="60" t="str">
        <x:v>الكون/الكينونة</x:v>
      </x:c>
      <x:c r="E22" s="60" t="str">
        <x:v>NOT_STARTED</x:v>
      </x:c>
      <x:c r="F22" s="62" t="n">
        <x:v>1390</x:v>
      </x:c>
      <x:c r="G22" s="62" t="n">
        <x:v>86</x:v>
      </x:c>
      <x:c r="H22" s="62" t="n">
        <x:v>3</x:v>
      </x:c>
      <x:c r="I22" s="62" t="n">
        <x:v>121</x:v>
      </x:c>
      <x:c r="J22" s="62" t="n">
        <x:v>2</x:v>
      </x:c>
      <x:c r="K22" s="62" t="n">
        <x:v>1</x:v>
      </x:c>
      <x:c r="L22" s="60" t="str">
        <x:v>1</x:v>
      </x:c>
      <x:c r="M22" s="60" t="str">
        <x:v>محدود</x:v>
      </x:c>
      <x:c r="N22" s="64" t="n">
        <x:v>5</x:v>
      </x:c>
      <x:c r="O22" s="64" t="n">
        <x:v>5</x:v>
      </x:c>
      <x:c r="P22" s="64" t="n">
        <x:v>2</x:v>
      </x:c>
      <x:c r="Q22" s="64" t="n">
        <x:v>5</x:v>
      </x:c>
      <x:c r="R22" s="64" t="n">
        <x:v>4</x:v>
      </x:c>
      <x:c r="S22" s="64" t="n">
        <x:v>5</x:v>
      </x:c>
      <x:c r="T22" s="64" t="n">
        <x:f>ROUND(N22*0.30+O22*0.20+P22*0.15+Q22*0.15+R22*0.10+S22*0.10,2)</x:f>
        <x:v>4.45</x:v>
      </x:c>
      <x:c r="U22" s="60" t="str">
        <x:v>≥10 مواضع خصومية متنوعة ثم توسعة مرحلية</x:v>
      </x:c>
      <x:c r="V22" s="60" t="str">
        <x:v>2:117؛ 16:40؛ 3:79؛ 19:35</x:v>
      </x:c>
      <x:c r="W22" s="60" t="str">
        <x:v>جعل، خلق، حدث</x:v>
      </x:c>
      <x:c r="X22" s="60" t="str">
        <x:v>Blind Discovery → Falsification → Lexical Differentiation → LOCK</x:v>
      </x:c>
      <x:c r="Y22" s="60" t="str">
        <x:v>https://corpus.quran.com/qurandictionary.jsp?q=kwn</x:v>
      </x:c>
    </x:row>
    <x:row r="23">
      <x:c r="A23" s="60" t="n">
        <x:v>17</x:v>
      </x:c>
      <x:c r="B23" s="60" t="str">
        <x:v>P1 — أصول تأسيسية عالية الأثر</x:v>
      </x:c>
      <x:c r="C23" s="60" t="str">
        <x:v>ض ل ل</x:v>
      </x:c>
      <x:c r="D23" s="60" t="str">
        <x:v>الضلال/فقدان السبيل</x:v>
      </x:c>
      <x:c r="E23" s="60" t="str">
        <x:v>NOT_STARTED</x:v>
      </x:c>
      <x:c r="F23" s="62" t="n">
        <x:v>191</x:v>
      </x:c>
      <x:c r="G23" s="62" t="n">
        <x:v>56</x:v>
      </x:c>
      <x:c r="H23" s="62" t="n">
        <x:v>8</x:v>
      </x:c>
      <x:c r="I23" s="62" t="n">
        <x:v>74</x:v>
      </x:c>
      <x:c r="J23" s="62" t="n">
        <x:v>2</x:v>
      </x:c>
      <x:c r="K23" s="62" t="n">
        <x:v>3</x:v>
      </x:c>
      <x:c r="L23" s="60" t="str">
        <x:v>1، 2، 4</x:v>
      </x:c>
      <x:c r="M23" s="60" t="str">
        <x:v>مرتفع</x:v>
      </x:c>
      <x:c r="N23" s="64" t="n">
        <x:v>5</x:v>
      </x:c>
      <x:c r="O23" s="64" t="n">
        <x:v>3</x:v>
      </x:c>
      <x:c r="P23" s="64" t="n">
        <x:v>4</x:v>
      </x:c>
      <x:c r="Q23" s="64" t="n">
        <x:v>5</x:v>
      </x:c>
      <x:c r="R23" s="64" t="n">
        <x:v>5</x:v>
      </x:c>
      <x:c r="S23" s="64" t="n">
        <x:v>5</x:v>
      </x:c>
      <x:c r="T23" s="64" t="n">
        <x:f>ROUND(N23*0.30+O23*0.20+P23*0.15+Q23*0.15+R23*0.10+S23*0.10,2)</x:f>
        <x:v>4.45</x:v>
      </x:c>
      <x:c r="U23" s="60" t="str">
        <x:v>≥10 مواضع خصومية متنوعة ثم توسعة مرحلية</x:v>
      </x:c>
      <x:c r="V23" s="60" t="str">
        <x:v>20:52؛ 53:2؛ 14:4؛ 26:86</x:v>
      </x:c>
      <x:c r="W23" s="60" t="str">
        <x:v>هدي، غوى، نسي</x:v>
      </x:c>
      <x:c r="X23" s="60" t="str">
        <x:v>Blind Discovery → Falsification → Lexical Differentiation → LOCK</x:v>
      </x:c>
      <x:c r="Y23" s="60" t="str">
        <x:v>https://corpus.quran.com/qurandictionary.jsp?q=Dll</x:v>
      </x:c>
    </x:row>
    <x:row r="24">
      <x:c r="A24" s="60" t="n">
        <x:v>18</x:v>
      </x:c>
      <x:c r="B24" s="60" t="str">
        <x:v>P1 — أصول تأسيسية عالية الأثر</x:v>
      </x:c>
      <x:c r="C24" s="60" t="str">
        <x:v>ع م ل</x:v>
      </x:c>
      <x:c r="D24" s="60" t="str">
        <x:v>العمل والكسب</x:v>
      </x:c>
      <x:c r="E24" s="60" t="str">
        <x:v>NOT_STARTED</x:v>
      </x:c>
      <x:c r="F24" s="62" t="n">
        <x:v>360</x:v>
      </x:c>
      <x:c r="G24" s="62" t="n">
        <x:v>68</x:v>
      </x:c>
      <x:c r="H24" s="62" t="n">
        <x:v>4</x:v>
      </x:c>
      <x:c r="I24" s="62" t="n">
        <x:v>61</x:v>
      </x:c>
      <x:c r="J24" s="62" t="n">
        <x:v>2</x:v>
      </x:c>
      <x:c r="K24" s="62" t="n">
        <x:v>1</x:v>
      </x:c>
      <x:c r="L24" s="60" t="str">
        <x:v>1</x:v>
      </x:c>
      <x:c r="M24" s="60" t="str">
        <x:v>متوسط</x:v>
      </x:c>
      <x:c r="N24" s="64" t="n">
        <x:v>5</x:v>
      </x:c>
      <x:c r="O24" s="64" t="n">
        <x:v>4</x:v>
      </x:c>
      <x:c r="P24" s="64" t="n">
        <x:v>3</x:v>
      </x:c>
      <x:c r="Q24" s="64" t="n">
        <x:v>5</x:v>
      </x:c>
      <x:c r="R24" s="64" t="n">
        <x:v>4</x:v>
      </x:c>
      <x:c r="S24" s="64" t="n">
        <x:v>5</x:v>
      </x:c>
      <x:c r="T24" s="64" t="n">
        <x:f>ROUND(N24*0.30+O24*0.20+P24*0.15+Q24*0.15+R24*0.10+S24*0.10,2)</x:f>
        <x:v>4.4</x:v>
      </x:c>
      <x:c r="U24" s="60" t="str">
        <x:v>≥10 مواضع خصومية متنوعة ثم توسعة مرحلية</x:v>
      </x:c>
      <x:c r="V24" s="60" t="str">
        <x:v>9:105؛ 99:7؛ 18:103؛ 2:25</x:v>
      </x:c>
      <x:c r="W24" s="60" t="str">
        <x:v>فعل، صنع، سعي، كسب</x:v>
      </x:c>
      <x:c r="X24" s="60" t="str">
        <x:v>Blind Discovery → Falsification → Lexical Differentiation → LOCK</x:v>
      </x:c>
      <x:c r="Y24" s="60" t="str">
        <x:v>https://corpus.quran.com/qurandictionary.jsp?q=Eml</x:v>
      </x:c>
    </x:row>
    <x:row r="25">
      <x:c r="A25" s="60" t="n">
        <x:v>19</x:v>
      </x:c>
      <x:c r="B25" s="60" t="str">
        <x:v>P1 — أصول تأسيسية عالية الأثر</x:v>
      </x:c>
      <x:c r="C25" s="60" t="str">
        <x:v>ر و د (أراد/راود)</x:v>
      </x:c>
      <x:c r="D25" s="60" t="str">
        <x:v>الإرادة/المراودة</x:v>
      </x:c>
      <x:c r="E25" s="60" t="str">
        <x:v>NOT_STARTED</x:v>
      </x:c>
      <x:c r="F25" s="62" t="n">
        <x:v>148</x:v>
      </x:c>
      <x:c r="G25" s="62" t="n">
        <x:v>47</x:v>
      </x:c>
      <x:c r="H25" s="62" t="n">
        <x:v>3</x:v>
      </x:c>
      <x:c r="I25" s="62" t="n">
        <x:v>48</x:v>
      </x:c>
      <x:c r="J25" s="62" t="n">
        <x:v>2</x:v>
      </x:c>
      <x:c r="K25" s="62" t="n">
        <x:v>2</x:v>
      </x:c>
      <x:c r="L25" s="60" t="str">
        <x:v>3، 4</x:v>
      </x:c>
      <x:c r="M25" s="60" t="str">
        <x:v>متوسط</x:v>
      </x:c>
      <x:c r="N25" s="64" t="n">
        <x:v>5</x:v>
      </x:c>
      <x:c r="O25" s="64" t="n">
        <x:v>3</x:v>
      </x:c>
      <x:c r="P25" s="64" t="n">
        <x:v>3</x:v>
      </x:c>
      <x:c r="Q25" s="64" t="n">
        <x:v>5</x:v>
      </x:c>
      <x:c r="R25" s="64" t="n">
        <x:v>5</x:v>
      </x:c>
      <x:c r="S25" s="64" t="n">
        <x:v>5</x:v>
      </x:c>
      <x:c r="T25" s="64" t="n">
        <x:f>ROUND(N25*0.30+O25*0.20+P25*0.15+Q25*0.15+R25*0.10+S25*0.10,2)</x:f>
        <x:v>4.3</x:v>
      </x:c>
      <x:c r="U25" s="60" t="str">
        <x:v>≥10 مواضع خصومية متنوعة ثم توسعة مرحلية</x:v>
      </x:c>
      <x:c r="V25" s="60" t="str">
        <x:v>2:185؛ 11:34؛ 18:77؛ 12:23؛ 16:40</x:v>
      </x:c>
      <x:c r="W25" s="60" t="str">
        <x:v>شيأ، حبب، قصد</x:v>
      </x:c>
      <x:c r="X25" s="60" t="str">
        <x:v>Blind Discovery → Falsification → Lexical Differentiation → LOCK</x:v>
      </x:c>
      <x:c r="Y25" s="60" t="str">
        <x:v>https://corpus.quran.com/qurandictionary.jsp?q=rwd</x:v>
      </x:c>
    </x:row>
    <x:row r="26">
      <x:c r="A26" s="60" t="n">
        <x:v>20</x:v>
      </x:c>
      <x:c r="B26" s="60" t="str">
        <x:v>P1 — أصول تأسيسية عالية الأثر</x:v>
      </x:c>
      <x:c r="C26" s="60" t="str">
        <x:v>ج ع ل</x:v>
      </x:c>
      <x:c r="D26" s="60" t="str">
        <x:v>التحويل/الإسناد</x:v>
      </x:c>
      <x:c r="E26" s="60" t="str">
        <x:v>NOT_STARTED</x:v>
      </x:c>
      <x:c r="F26" s="62" t="n">
        <x:v>346</x:v>
      </x:c>
      <x:c r="G26" s="62" t="n">
        <x:v>66</x:v>
      </x:c>
      <x:c r="H26" s="62" t="n">
        <x:v>2</x:v>
      </x:c>
      <x:c r="I26" s="62" t="n">
        <x:v>117</x:v>
      </x:c>
      <x:c r="J26" s="62" t="n">
        <x:v>2</x:v>
      </x:c>
      <x:c r="K26" s="62" t="n">
        <x:v>1</x:v>
      </x:c>
      <x:c r="L26" s="60" t="str">
        <x:v>1</x:v>
      </x:c>
      <x:c r="M26" s="60" t="str">
        <x:v>محدود</x:v>
      </x:c>
      <x:c r="N26" s="64" t="n">
        <x:v>5</x:v>
      </x:c>
      <x:c r="O26" s="64" t="n">
        <x:v>4</x:v>
      </x:c>
      <x:c r="P26" s="64" t="n">
        <x:v>2</x:v>
      </x:c>
      <x:c r="Q26" s="64" t="n">
        <x:v>5</x:v>
      </x:c>
      <x:c r="R26" s="64" t="n">
        <x:v>4</x:v>
      </x:c>
      <x:c r="S26" s="64" t="n">
        <x:v>5</x:v>
      </x:c>
      <x:c r="T26" s="64" t="n">
        <x:f>ROUND(N26*0.30+O26*0.20+P26*0.15+Q26*0.15+R26*0.10+S26*0.10,2)</x:f>
        <x:v>4.25</x:v>
      </x:c>
      <x:c r="U26" s="60" t="str">
        <x:v>≥10 مواضع خصومية متنوعة ثم توسعة مرحلية</x:v>
      </x:c>
      <x:c r="V26" s="60" t="str">
        <x:v>2:30؛ 16:78؛ 18:94؛ 43:3</x:v>
      </x:c>
      <x:c r="W26" s="60" t="str">
        <x:v>خلق، فعل، كون</x:v>
      </x:c>
      <x:c r="X26" s="60" t="str">
        <x:v>Blind Discovery → Falsification → Lexical Differentiation → LOCK</x:v>
      </x:c>
      <x:c r="Y26" s="60" t="str">
        <x:v>https://corpus.quran.com/qurandictionary.jsp?q=jEl</x:v>
      </x:c>
    </x:row>
    <x:row r="27">
      <x:c r="A27" s="60" t="n">
        <x:v>21</x:v>
      </x:c>
      <x:c r="B27" s="60" t="str">
        <x:v>P1 — أصول تأسيسية عالية الأثر</x:v>
      </x:c>
      <x:c r="C27" s="60" t="str">
        <x:v>ف ع ل</x:v>
      </x:c>
      <x:c r="D27" s="60" t="str">
        <x:v>الفعل والحدوث</x:v>
      </x:c>
      <x:c r="E27" s="60" t="str">
        <x:v>NOT_STARTED</x:v>
      </x:c>
      <x:c r="F27" s="62" t="n">
        <x:v>108</x:v>
      </x:c>
      <x:c r="G27" s="62" t="n">
        <x:v>44</x:v>
      </x:c>
      <x:c r="H27" s="62" t="n">
        <x:v>6</x:v>
      </x:c>
      <x:c r="I27" s="62" t="n">
        <x:v>42</x:v>
      </x:c>
      <x:c r="J27" s="62" t="n">
        <x:v>2</x:v>
      </x:c>
      <x:c r="K27" s="62" t="n">
        <x:v>1</x:v>
      </x:c>
      <x:c r="L27" s="60" t="str">
        <x:v>1</x:v>
      </x:c>
      <x:c r="M27" s="60" t="str">
        <x:v>متوسط</x:v>
      </x:c>
      <x:c r="N27" s="64" t="n">
        <x:v>5</x:v>
      </x:c>
      <x:c r="O27" s="64" t="n">
        <x:v>3</x:v>
      </x:c>
      <x:c r="P27" s="64" t="n">
        <x:v>3</x:v>
      </x:c>
      <x:c r="Q27" s="64" t="n">
        <x:v>5</x:v>
      </x:c>
      <x:c r="R27" s="64" t="n">
        <x:v>4</x:v>
      </x:c>
      <x:c r="S27" s="64" t="n">
        <x:v>5</x:v>
      </x:c>
      <x:c r="T27" s="64" t="n">
        <x:f>ROUND(N27*0.30+O27*0.20+P27*0.15+Q27*0.15+R27*0.10+S27*0.10,2)</x:f>
        <x:v>4.2</x:v>
      </x:c>
      <x:c r="U27" s="60" t="str">
        <x:v>≥10 مواضع خصومية متنوعة ثم توسعة مرحلية</x:v>
      </x:c>
      <x:c r="V27" s="60" t="str">
        <x:v>21:23؛ 18:82؛ 2:234؛ 26:19</x:v>
      </x:c>
      <x:c r="W27" s="60" t="str">
        <x:v>عمل، صنع، خلق، جعل</x:v>
      </x:c>
      <x:c r="X27" s="60" t="str">
        <x:v>Blind Discovery → Falsification → Lexical Differentiation → LOCK</x:v>
      </x:c>
      <x:c r="Y27" s="60" t="str">
        <x:v>https://corpus.quran.com/qurandictionary.jsp?q=fEl</x:v>
      </x:c>
    </x:row>
    <x:row r="28">
      <x:c r="A28" s="60" t="n">
        <x:v>22</x:v>
      </x:c>
      <x:c r="B28" s="60" t="str">
        <x:v>P1 — أصول تأسيسية عالية الأثر</x:v>
      </x:c>
      <x:c r="C28" s="60" t="str">
        <x:v>ق ض ي (قضى)</x:v>
      </x:c>
      <x:c r="D28" s="60" t="str">
        <x:v>القضاء/الإنهاء</x:v>
      </x:c>
      <x:c r="E28" s="60" t="str">
        <x:v>NOT_STARTED</x:v>
      </x:c>
      <x:c r="F28" s="62" t="n">
        <x:v>63</x:v>
      </x:c>
      <x:c r="G28" s="62" t="n">
        <x:v>29</x:v>
      </x:c>
      <x:c r="H28" s="62" t="n">
        <x:v>4</x:v>
      </x:c>
      <x:c r="I28" s="62" t="n">
        <x:v>36</x:v>
      </x:c>
      <x:c r="J28" s="62" t="n">
        <x:v>2</x:v>
      </x:c>
      <x:c r="K28" s="62" t="n">
        <x:v>1</x:v>
      </x:c>
      <x:c r="L28" s="60" t="str">
        <x:v>1</x:v>
      </x:c>
      <x:c r="M28" s="60" t="str">
        <x:v>متوسط</x:v>
      </x:c>
      <x:c r="N28" s="64" t="n">
        <x:v>5</x:v>
      </x:c>
      <x:c r="O28" s="64" t="n">
        <x:v>2</x:v>
      </x:c>
      <x:c r="P28" s="64" t="n">
        <x:v>3</x:v>
      </x:c>
      <x:c r="Q28" s="64" t="n">
        <x:v>5</x:v>
      </x:c>
      <x:c r="R28" s="64" t="n">
        <x:v>5</x:v>
      </x:c>
      <x:c r="S28" s="64" t="n">
        <x:v>5</x:v>
      </x:c>
      <x:c r="T28" s="64" t="n">
        <x:f>ROUND(N28*0.30+O28*0.20+P28*0.15+Q28*0.15+R28*0.10+S28*0.10,2)</x:f>
        <x:v>4.1</x:v>
      </x:c>
      <x:c r="U28" s="60" t="str">
        <x:v>≥10 مواضع خصومية متنوعة ثم توسعة مرحلية</x:v>
      </x:c>
      <x:c r="V28" s="60" t="str">
        <x:v>17:23؛ 2:117؛ 28:15؛ 33:37؛ 12:41</x:v>
      </x:c>
      <x:c r="W28" s="60" t="str">
        <x:v>قدر، حكم، أمر، كتب</x:v>
      </x:c>
      <x:c r="X28" s="60" t="str">
        <x:v>Blind Discovery → Falsification → Lexical Differentiation → LOCK</x:v>
      </x:c>
      <x:c r="Y28" s="60" t="str">
        <x:v>https://corpus.quran.com/qurandictionary.jsp?q=qDy</x:v>
      </x:c>
    </x:row>
    <x:row r="29">
      <x:c r="A29" s="60" t="n">
        <x:v>23</x:v>
      </x:c>
      <x:c r="B29" s="60" t="str">
        <x:v>P2 — شبكات دلالية مركزية</x:v>
      </x:c>
      <x:c r="C29" s="60" t="str">
        <x:v>ر ح م</x:v>
      </x:c>
      <x:c r="D29" s="60" t="str">
        <x:v>الرحمة/الرَّحِم</x:v>
      </x:c>
      <x:c r="E29" s="60" t="str">
        <x:v>NOT_STARTED</x:v>
      </x:c>
      <x:c r="F29" s="62" t="n">
        <x:v>339</x:v>
      </x:c>
      <x:c r="G29" s="62" t="n">
        <x:v>62</x:v>
      </x:c>
      <x:c r="H29" s="62" t="n">
        <x:v>9</x:v>
      </x:c>
      <x:c r="I29" s="62" t="n">
        <x:v>78</x:v>
      </x:c>
      <x:c r="J29" s="62" t="n">
        <x:v>2</x:v>
      </x:c>
      <x:c r="K29" s="62" t="n">
        <x:v>1</x:v>
      </x:c>
      <x:c r="L29" s="60" t="str">
        <x:v>1</x:v>
      </x:c>
      <x:c r="M29" s="60" t="str">
        <x:v>مرتفع</x:v>
      </x:c>
      <x:c r="N29" s="64" t="n">
        <x:v>4</x:v>
      </x:c>
      <x:c r="O29" s="64" t="n">
        <x:v>4</x:v>
      </x:c>
      <x:c r="P29" s="64" t="n">
        <x:v>4</x:v>
      </x:c>
      <x:c r="Q29" s="64" t="n">
        <x:v>5</x:v>
      </x:c>
      <x:c r="R29" s="64" t="n">
        <x:v>5</x:v>
      </x:c>
      <x:c r="S29" s="64" t="n">
        <x:v>5</x:v>
      </x:c>
      <x:c r="T29" s="64" t="n">
        <x:f>ROUND(N29*0.30+O29*0.20+P29*0.15+Q29*0.15+R29*0.10+S29*0.10,2)</x:f>
        <x:v>4.35</x:v>
      </x:c>
      <x:c r="U29" s="60" t="str">
        <x:v>≥10 مواضع خصومية متنوعة ثم توسعة مرحلية</x:v>
      </x:c>
      <x:c r="V29" s="60" t="str">
        <x:v>6:12؛ 90:17؛ 17:24؛ 18:82</x:v>
      </x:c>
      <x:c r="W29" s="60" t="str">
        <x:v>عفو، غفر، حبب، رأف</x:v>
      </x:c>
      <x:c r="X29" s="60" t="str">
        <x:v>Blind Discovery → Falsification → Lexical Differentiation → LOCK</x:v>
      </x:c>
      <x:c r="Y29" s="60" t="str">
        <x:v>https://corpus.quran.com/qurandictionary.jsp?q=rHm</x:v>
      </x:c>
    </x:row>
    <x:row r="30">
      <x:c r="A30" s="60" t="n">
        <x:v>24</x:v>
      </x:c>
      <x:c r="B30" s="60" t="str">
        <x:v>P2 — شبكات دلالية مركزية</x:v>
      </x:c>
      <x:c r="C30" s="60" t="str">
        <x:v>ذ ك ر</x:v>
      </x:c>
      <x:c r="D30" s="60" t="str">
        <x:v>الذكر/الاستحضار</x:v>
      </x:c>
      <x:c r="E30" s="60" t="str">
        <x:v>NOT_STARTED</x:v>
      </x:c>
      <x:c r="F30" s="62" t="n">
        <x:v>292</x:v>
      </x:c>
      <x:c r="G30" s="62" t="n">
        <x:v>71</x:v>
      </x:c>
      <x:c r="H30" s="62" t="n">
        <x:v>14</x:v>
      </x:c>
      <x:c r="I30" s="62" t="n">
        <x:v>112</x:v>
      </x:c>
      <x:c r="J30" s="62" t="n">
        <x:v>2</x:v>
      </x:c>
      <x:c r="K30" s="62" t="n">
        <x:v>4</x:v>
      </x:c>
      <x:c r="L30" s="60" t="str">
        <x:v>1، 2، 5، 8</x:v>
      </x:c>
      <x:c r="M30" s="60" t="str">
        <x:v>مرتفع جدًا</x:v>
      </x:c>
      <x:c r="N30" s="64" t="n">
        <x:v>4</x:v>
      </x:c>
      <x:c r="O30" s="64" t="n">
        <x:v>4</x:v>
      </x:c>
      <x:c r="P30" s="64" t="n">
        <x:v>5</x:v>
      </x:c>
      <x:c r="Q30" s="64" t="n">
        <x:v>5</x:v>
      </x:c>
      <x:c r="R30" s="64" t="n">
        <x:v>3</x:v>
      </x:c>
      <x:c r="S30" s="64" t="n">
        <x:v>5</x:v>
      </x:c>
      <x:c r="T30" s="64" t="n">
        <x:f>ROUND(N30*0.30+O30*0.20+P30*0.15+Q30*0.15+R30*0.10+S30*0.10,2)</x:f>
        <x:v>4.3</x:v>
      </x:c>
      <x:c r="U30" s="60" t="str">
        <x:v>≥10 مواضع خصومية متنوعة ثم توسعة مرحلية</x:v>
      </x:c>
      <x:c r="V30" s="60" t="str">
        <x:v>2:152؛ 54:17؛ 21:10؛ 43:44</x:v>
      </x:c>
      <x:c r="W30" s="60" t="str">
        <x:v>نسي، علم، عقل</x:v>
      </x:c>
      <x:c r="X30" s="60" t="str">
        <x:v>Blind Discovery → Falsification → Lexical Differentiation → LOCK</x:v>
      </x:c>
      <x:c r="Y30" s="60" t="str">
        <x:v>https://corpus.quran.com/qurandictionary.jsp?q=%2Akr</x:v>
      </x:c>
    </x:row>
    <x:row r="31">
      <x:c r="A31" s="60" t="n">
        <x:v>25</x:v>
      </x:c>
      <x:c r="B31" s="60" t="str">
        <x:v>P2 — شبكات دلالية مركزية</x:v>
      </x:c>
      <x:c r="C31" s="60" t="str">
        <x:v>ك ذ ب</x:v>
      </x:c>
      <x:c r="D31" s="60" t="str">
        <x:v>الكذب/التكذيب</x:v>
      </x:c>
      <x:c r="E31" s="60" t="str">
        <x:v>NOT_STARTED</x:v>
      </x:c>
      <x:c r="F31" s="62" t="n">
        <x:v>282</x:v>
      </x:c>
      <x:c r="G31" s="62" t="n">
        <x:v>68</x:v>
      </x:c>
      <x:c r="H31" s="62" t="n">
        <x:v>9</x:v>
      </x:c>
      <x:c r="I31" s="62" t="n">
        <x:v>65</x:v>
      </x:c>
      <x:c r="J31" s="62" t="n">
        <x:v>2</x:v>
      </x:c>
      <x:c r="K31" s="62" t="n">
        <x:v>2</x:v>
      </x:c>
      <x:c r="L31" s="60" t="str">
        <x:v>1، 2</x:v>
      </x:c>
      <x:c r="M31" s="60" t="str">
        <x:v>مرتفع</x:v>
      </x:c>
      <x:c r="N31" s="64" t="n">
        <x:v>4</x:v>
      </x:c>
      <x:c r="O31" s="64" t="n">
        <x:v>4</x:v>
      </x:c>
      <x:c r="P31" s="64" t="n">
        <x:v>4</x:v>
      </x:c>
      <x:c r="Q31" s="64" t="n">
        <x:v>5</x:v>
      </x:c>
      <x:c r="R31" s="64" t="n">
        <x:v>4</x:v>
      </x:c>
      <x:c r="S31" s="64" t="n">
        <x:v>5</x:v>
      </x:c>
      <x:c r="T31" s="64" t="n">
        <x:f>ROUND(N31*0.30+O31*0.20+P31*0.15+Q31*0.15+R31*0.10+S31*0.10,2)</x:f>
        <x:v>4.25</x:v>
      </x:c>
      <x:c r="U31" s="60" t="str">
        <x:v>≥10 مواضع خصومية متنوعة ثم توسعة مرحلية</x:v>
      </x:c>
      <x:c r="V31" s="60" t="str">
        <x:v>12:18؛ 39:32؛ 6:21؛ 77:19</x:v>
      </x:c>
      <x:c r="W31" s="60" t="str">
        <x:v>صدق، حقق، افترى</x:v>
      </x:c>
      <x:c r="X31" s="60" t="str">
        <x:v>Blind Discovery → Falsification → Lexical Differentiation → LOCK</x:v>
      </x:c>
      <x:c r="Y31" s="60" t="str">
        <x:v>https://corpus.quran.com/qurandictionary.jsp?q=k%2Ab</x:v>
      </x:c>
    </x:row>
    <x:row r="32">
      <x:c r="A32" s="60" t="n">
        <x:v>26</x:v>
      </x:c>
      <x:c r="B32" s="60" t="str">
        <x:v>P2 — شبكات دلالية مركزية</x:v>
      </x:c>
      <x:c r="C32" s="60" t="str">
        <x:v>ن ف س</x:v>
      </x:c>
      <x:c r="D32" s="60" t="str">
        <x:v>النفس/الذات</x:v>
      </x:c>
      <x:c r="E32" s="60" t="str">
        <x:v>NOT_STARTED</x:v>
      </x:c>
      <x:c r="F32" s="62" t="n">
        <x:v>298</x:v>
      </x:c>
      <x:c r="G32" s="62" t="n">
        <x:v>63</x:v>
      </x:c>
      <x:c r="H32" s="62" t="n">
        <x:v>4</x:v>
      </x:c>
      <x:c r="I32" s="62" t="n">
        <x:v>77</x:v>
      </x:c>
      <x:c r="J32" s="62" t="n">
        <x:v>2</x:v>
      </x:c>
      <x:c r="K32" s="62" t="n">
        <x:v>2</x:v>
      </x:c>
      <x:c r="L32" s="60" t="str">
        <x:v>5، 6</x:v>
      </x:c>
      <x:c r="M32" s="60" t="str">
        <x:v>متوسط</x:v>
      </x:c>
      <x:c r="N32" s="64" t="n">
        <x:v>4</x:v>
      </x:c>
      <x:c r="O32" s="64" t="n">
        <x:v>4</x:v>
      </x:c>
      <x:c r="P32" s="64" t="n">
        <x:v>3</x:v>
      </x:c>
      <x:c r="Q32" s="64" t="n">
        <x:v>5</x:v>
      </x:c>
      <x:c r="R32" s="64" t="n">
        <x:v>5</x:v>
      </x:c>
      <x:c r="S32" s="64" t="n">
        <x:v>5</x:v>
      </x:c>
      <x:c r="T32" s="64" t="n">
        <x:f>ROUND(N32*0.30+O32*0.20+P32*0.15+Q32*0.15+R32*0.10+S32*0.10,2)</x:f>
        <x:v>4.2</x:v>
      </x:c>
      <x:c r="U32" s="60" t="str">
        <x:v>≥10 مواضع خصومية متنوعة ثم توسعة مرحلية</x:v>
      </x:c>
      <x:c r="V32" s="60" t="str">
        <x:v>6:12؛ 12:53؛ 39:42؛ 2:286</x:v>
      </x:c>
      <x:c r="W32" s="60" t="str">
        <x:v>روح، قلب، ذات</x:v>
      </x:c>
      <x:c r="X32" s="60" t="str">
        <x:v>Blind Discovery → Falsification → Lexical Differentiation → LOCK</x:v>
      </x:c>
      <x:c r="Y32" s="60" t="str">
        <x:v>https://corpus.quran.com/qurandictionary.jsp?q=nfs</x:v>
      </x:c>
    </x:row>
    <x:row r="33">
      <x:c r="A33" s="60" t="n">
        <x:v>27</x:v>
      </x:c>
      <x:c r="B33" s="60" t="str">
        <x:v>P2 — شبكات دلالية مركزية</x:v>
      </x:c>
      <x:c r="C33" s="60" t="str">
        <x:v>ح ي ي</x:v>
      </x:c>
      <x:c r="D33" s="60" t="str">
        <x:v>الحياة/الإحياء</x:v>
      </x:c>
      <x:c r="E33" s="60" t="str">
        <x:v>NOT_STARTED</x:v>
      </x:c>
      <x:c r="F33" s="62" t="n">
        <x:v>189</x:v>
      </x:c>
      <x:c r="G33" s="62" t="n">
        <x:v>50</x:v>
      </x:c>
      <x:c r="H33" s="62" t="n">
        <x:v>13</x:v>
      </x:c>
      <x:c r="I33" s="62" t="n">
        <x:v>76</x:v>
      </x:c>
      <x:c r="J33" s="62" t="n">
        <x:v>2</x:v>
      </x:c>
      <x:c r="K33" s="62" t="n">
        <x:v>4</x:v>
      </x:c>
      <x:c r="L33" s="60" t="str">
        <x:v>1، 2، 4، 10</x:v>
      </x:c>
      <x:c r="M33" s="60" t="str">
        <x:v>مرتفع جدًا</x:v>
      </x:c>
      <x:c r="N33" s="64" t="n">
        <x:v>4</x:v>
      </x:c>
      <x:c r="O33" s="64" t="n">
        <x:v>3</x:v>
      </x:c>
      <x:c r="P33" s="64" t="n">
        <x:v>5</x:v>
      </x:c>
      <x:c r="Q33" s="64" t="n">
        <x:v>5</x:v>
      </x:c>
      <x:c r="R33" s="64" t="n">
        <x:v>5</x:v>
      </x:c>
      <x:c r="S33" s="64" t="n">
        <x:v>4</x:v>
      </x:c>
      <x:c r="T33" s="64" t="n">
        <x:f>ROUND(N33*0.30+O33*0.20+P33*0.15+Q33*0.15+R33*0.10+S33*0.10,2)</x:f>
        <x:v>4.2</x:v>
      </x:c>
      <x:c r="U33" s="60" t="str">
        <x:v>≥10 مواضع خصومية متنوعة ثم توسعة مرحلية</x:v>
      </x:c>
      <x:c r="V33" s="60" t="str">
        <x:v>2:258؛ 30:19؛ 8:42؛ 16:21</x:v>
      </x:c>
      <x:c r="W33" s="60" t="str">
        <x:v>موت، خلق، نفس، روح</x:v>
      </x:c>
      <x:c r="X33" s="60" t="str">
        <x:v>Blind Discovery → Falsification → Lexical Differentiation → LOCK</x:v>
      </x:c>
      <x:c r="Y33" s="60" t="str">
        <x:v>https://corpus.quran.com/qurandictionary.jsp?q=Hyy</x:v>
      </x:c>
    </x:row>
    <x:row r="34">
      <x:c r="A34" s="60" t="n">
        <x:v>28</x:v>
      </x:c>
      <x:c r="B34" s="60" t="str">
        <x:v>P2 — شبكات دلالية مركزية</x:v>
      </x:c>
      <x:c r="C34" s="60" t="str">
        <x:v>ق ل ب</x:v>
      </x:c>
      <x:c r="D34" s="60" t="str">
        <x:v>القلب/التقلب</x:v>
      </x:c>
      <x:c r="E34" s="60" t="str">
        <x:v>NOT_STARTED</x:v>
      </x:c>
      <x:c r="F34" s="62" t="n">
        <x:v>168</x:v>
      </x:c>
      <x:c r="G34" s="62" t="n">
        <x:v>48</x:v>
      </x:c>
      <x:c r="H34" s="62" t="n">
        <x:v>9</x:v>
      </x:c>
      <x:c r="I34" s="62" t="n">
        <x:v>68</x:v>
      </x:c>
      <x:c r="J34" s="62" t="n">
        <x:v>2</x:v>
      </x:c>
      <x:c r="K34" s="62" t="n">
        <x:v>4</x:v>
      </x:c>
      <x:c r="L34" s="60" t="str">
        <x:v>1، 2، 5، 7</x:v>
      </x:c>
      <x:c r="M34" s="60" t="str">
        <x:v>مرتفع جدًا</x:v>
      </x:c>
      <x:c r="N34" s="64" t="n">
        <x:v>4</x:v>
      </x:c>
      <x:c r="O34" s="64" t="n">
        <x:v>3</x:v>
      </x:c>
      <x:c r="P34" s="64" t="n">
        <x:v>5</x:v>
      </x:c>
      <x:c r="Q34" s="64" t="n">
        <x:v>5</x:v>
      </x:c>
      <x:c r="R34" s="64" t="n">
        <x:v>4</x:v>
      </x:c>
      <x:c r="S34" s="64" t="n">
        <x:v>5</x:v>
      </x:c>
      <x:c r="T34" s="64" t="n">
        <x:f>ROUND(N34*0.30+O34*0.20+P34*0.15+Q34*0.15+R34*0.10+S34*0.10,2)</x:f>
        <x:v>4.2</x:v>
      </x:c>
      <x:c r="U34" s="60" t="str">
        <x:v>≥10 مواضع خصومية متنوعة ثم توسعة مرحلية</x:v>
      </x:c>
      <x:c r="V34" s="60" t="str">
        <x:v>2:10؛ 6:110؛ 3:144؛ 18:18</x:v>
      </x:c>
      <x:c r="W34" s="60" t="str">
        <x:v>نفس، روح، فؤاد</x:v>
      </x:c>
      <x:c r="X34" s="60" t="str">
        <x:v>Blind Discovery → Falsification → Lexical Differentiation → LOCK</x:v>
      </x:c>
      <x:c r="Y34" s="60" t="str">
        <x:v>https://corpus.quran.com/qurandictionary.jsp?q=qlb</x:v>
      </x:c>
    </x:row>
    <x:row r="35">
      <x:c r="A35" s="60" t="n">
        <x:v>29</x:v>
      </x:c>
      <x:c r="B35" s="60" t="str">
        <x:v>P2 — شبكات دلالية مركزية</x:v>
      </x:c>
      <x:c r="C35" s="60" t="str">
        <x:v>ص د ق</x:v>
      </x:c>
      <x:c r="D35" s="60" t="str">
        <x:v>الصدق/المطابقة</x:v>
      </x:c>
      <x:c r="E35" s="60" t="str">
        <x:v>NOT_STARTED</x:v>
      </x:c>
      <x:c r="F35" s="62" t="n">
        <x:v>155</x:v>
      </x:c>
      <x:c r="G35" s="62" t="n">
        <x:v>49</x:v>
      </x:c>
      <x:c r="H35" s="62" t="n">
        <x:v>18</x:v>
      </x:c>
      <x:c r="I35" s="62" t="n">
        <x:v>68</x:v>
      </x:c>
      <x:c r="J35" s="62" t="n">
        <x:v>2</x:v>
      </x:c>
      <x:c r="K35" s="62" t="n">
        <x:v>3</x:v>
      </x:c>
      <x:c r="L35" s="60" t="str">
        <x:v>1، 2، 5</x:v>
      </x:c>
      <x:c r="M35" s="60" t="str">
        <x:v>مرتفع جدًا</x:v>
      </x:c>
      <x:c r="N35" s="64" t="n">
        <x:v>4</x:v>
      </x:c>
      <x:c r="O35" s="64" t="n">
        <x:v>3</x:v>
      </x:c>
      <x:c r="P35" s="64" t="n">
        <x:v>5</x:v>
      </x:c>
      <x:c r="Q35" s="64" t="n">
        <x:v>5</x:v>
      </x:c>
      <x:c r="R35" s="64" t="n">
        <x:v>4</x:v>
      </x:c>
      <x:c r="S35" s="64" t="n">
        <x:v>5</x:v>
      </x:c>
      <x:c r="T35" s="64" t="n">
        <x:f>ROUND(N35*0.30+O35*0.20+P35*0.15+Q35*0.15+R35*0.10+S35*0.10,2)</x:f>
        <x:v>4.2</x:v>
      </x:c>
      <x:c r="U35" s="60" t="str">
        <x:v>≥10 مواضع خصومية متنوعة ثم توسعة مرحلية</x:v>
      </x:c>
      <x:c r="V35" s="60" t="str">
        <x:v>33:8؛ 39:33؛ 2:177؛ 12:17</x:v>
      </x:c>
      <x:c r="W35" s="60" t="str">
        <x:v>حقق، شهد، كذب</x:v>
      </x:c>
      <x:c r="X35" s="60" t="str">
        <x:v>Blind Discovery → Falsification → Lexical Differentiation → LOCK</x:v>
      </x:c>
      <x:c r="Y35" s="60" t="str">
        <x:v>https://corpus.quran.com/qurandictionary.jsp?q=Sdq</x:v>
      </x:c>
    </x:row>
    <x:row r="36">
      <x:c r="A36" s="60" t="n">
        <x:v>30</x:v>
      </x:c>
      <x:c r="B36" s="60" t="str">
        <x:v>P2 — شبكات دلالية مركزية</x:v>
      </x:c>
      <x:c r="C36" s="60" t="str">
        <x:v>غ ف ر</x:v>
      </x:c>
      <x:c r="D36" s="60" t="str">
        <x:v>المغفرة/الستر محل اختبار</x:v>
      </x:c>
      <x:c r="E36" s="60" t="str">
        <x:v>NOT_STARTED</x:v>
      </x:c>
      <x:c r="F36" s="62" t="n">
        <x:v>234</x:v>
      </x:c>
      <x:c r="G36" s="62" t="n">
        <x:v>56</x:v>
      </x:c>
      <x:c r="H36" s="62" t="n">
        <x:v>9</x:v>
      </x:c>
      <x:c r="I36" s="62" t="n">
        <x:v>73</x:v>
      </x:c>
      <x:c r="J36" s="62" t="n">
        <x:v>2</x:v>
      </x:c>
      <x:c r="K36" s="62" t="n">
        <x:v>2</x:v>
      </x:c>
      <x:c r="L36" s="60" t="str">
        <x:v>1، 10</x:v>
      </x:c>
      <x:c r="M36" s="60" t="str">
        <x:v>مرتفع</x:v>
      </x:c>
      <x:c r="N36" s="64" t="n">
        <x:v>4</x:v>
      </x:c>
      <x:c r="O36" s="64" t="n">
        <x:v>4</x:v>
      </x:c>
      <x:c r="P36" s="64" t="n">
        <x:v>4</x:v>
      </x:c>
      <x:c r="Q36" s="64" t="n">
        <x:v>5</x:v>
      </x:c>
      <x:c r="R36" s="64" t="n">
        <x:v>3</x:v>
      </x:c>
      <x:c r="S36" s="64" t="n">
        <x:v>5</x:v>
      </x:c>
      <x:c r="T36" s="64" t="n">
        <x:f>ROUND(N36*0.30+O36*0.20+P36*0.15+Q36*0.15+R36*0.10+S36*0.10,2)</x:f>
        <x:v>4.15</x:v>
      </x:c>
      <x:c r="U36" s="60" t="str">
        <x:v>≥10 مواضع خصومية متنوعة ثم توسعة مرحلية</x:v>
      </x:c>
      <x:c r="V36" s="60" t="str">
        <x:v>71:10؛ 2:58؛ 39:53؛ 4:48</x:v>
      </x:c>
      <x:c r="W36" s="60" t="str">
        <x:v>عفو، توب، رحم</x:v>
      </x:c>
      <x:c r="X36" s="60" t="str">
        <x:v>Blind Discovery → Falsification → Lexical Differentiation → LOCK</x:v>
      </x:c>
      <x:c r="Y36" s="60" t="str">
        <x:v>https://corpus.quran.com/qurandictionary.jsp?q=gfr</x:v>
      </x:c>
    </x:row>
    <x:row r="37">
      <x:c r="A37" s="60" t="n">
        <x:v>31</x:v>
      </x:c>
      <x:c r="B37" s="60" t="str">
        <x:v>P2 — شبكات دلالية مركزية</x:v>
      </x:c>
      <x:c r="C37" s="60" t="str">
        <x:v>م و ت</x:v>
      </x:c>
      <x:c r="D37" s="60" t="str">
        <x:v>الموت/الإماتة</x:v>
      </x:c>
      <x:c r="E37" s="60" t="str">
        <x:v>NOT_STARTED</x:v>
      </x:c>
      <x:c r="F37" s="62" t="n">
        <x:v>165</x:v>
      </x:c>
      <x:c r="G37" s="62" t="n">
        <x:v>53</x:v>
      </x:c>
      <x:c r="H37" s="62" t="n">
        <x:v>8</x:v>
      </x:c>
      <x:c r="I37" s="62" t="n">
        <x:v>68</x:v>
      </x:c>
      <x:c r="J37" s="62" t="n">
        <x:v>2</x:v>
      </x:c>
      <x:c r="K37" s="62" t="n">
        <x:v>2</x:v>
      </x:c>
      <x:c r="L37" s="60" t="str">
        <x:v>1، 4</x:v>
      </x:c>
      <x:c r="M37" s="60" t="str">
        <x:v>مرتفع</x:v>
      </x:c>
      <x:c r="N37" s="64" t="n">
        <x:v>4</x:v>
      </x:c>
      <x:c r="O37" s="64" t="n">
        <x:v>3</x:v>
      </x:c>
      <x:c r="P37" s="64" t="n">
        <x:v>4</x:v>
      </x:c>
      <x:c r="Q37" s="64" t="n">
        <x:v>5</x:v>
      </x:c>
      <x:c r="R37" s="64" t="n">
        <x:v>5</x:v>
      </x:c>
      <x:c r="S37" s="64" t="n">
        <x:v>4</x:v>
      </x:c>
      <x:c r="T37" s="64" t="n">
        <x:f>ROUND(N37*0.30+O37*0.20+P37*0.15+Q37*0.15+R37*0.10+S37*0.10,2)</x:f>
        <x:v>4.05</x:v>
      </x:c>
      <x:c r="U37" s="60" t="str">
        <x:v>≥10 مواضع خصومية متنوعة ثم توسعة مرحلية</x:v>
      </x:c>
      <x:c r="V37" s="60" t="str">
        <x:v>3:145؛ 2:28؛ 39:42؛ 67:2</x:v>
      </x:c>
      <x:c r="W37" s="60" t="str">
        <x:v>حيي، نفس، توفي</x:v>
      </x:c>
      <x:c r="X37" s="60" t="str">
        <x:v>Blind Discovery → Falsification → Lexical Differentiation → LOCK</x:v>
      </x:c>
      <x:c r="Y37" s="60" t="str">
        <x:v>https://corpus.quran.com/qurandictionary.jsp?q=mwt</x:v>
      </x:c>
    </x:row>
    <x:row r="38">
      <x:c r="A38" s="60" t="n">
        <x:v>32</x:v>
      </x:c>
      <x:c r="B38" s="60" t="str">
        <x:v>P2 — شبكات دلالية مركزية</x:v>
      </x:c>
      <x:c r="C38" s="60" t="str">
        <x:v>ش ه د</x:v>
      </x:c>
      <x:c r="D38" s="60" t="str">
        <x:v>الشهادة/الحضور</x:v>
      </x:c>
      <x:c r="E38" s="60" t="str">
        <x:v>NOT_STARTED</x:v>
      </x:c>
      <x:c r="F38" s="62" t="n">
        <x:v>160</x:v>
      </x:c>
      <x:c r="G38" s="62" t="n">
        <x:v>48</x:v>
      </x:c>
      <x:c r="H38" s="62" t="n">
        <x:v>8</x:v>
      </x:c>
      <x:c r="I38" s="62" t="n">
        <x:v>81</x:v>
      </x:c>
      <x:c r="J38" s="62" t="n">
        <x:v>2</x:v>
      </x:c>
      <x:c r="K38" s="62" t="n">
        <x:v>3</x:v>
      </x:c>
      <x:c r="L38" s="60" t="str">
        <x:v>1، 4، 10</x:v>
      </x:c>
      <x:c r="M38" s="60" t="str">
        <x:v>مرتفع</x:v>
      </x:c>
      <x:c r="N38" s="64" t="n">
        <x:v>4</x:v>
      </x:c>
      <x:c r="O38" s="64" t="n">
        <x:v>3</x:v>
      </x:c>
      <x:c r="P38" s="64" t="n">
        <x:v>4</x:v>
      </x:c>
      <x:c r="Q38" s="64" t="n">
        <x:v>5</x:v>
      </x:c>
      <x:c r="R38" s="64" t="n">
        <x:v>3</x:v>
      </x:c>
      <x:c r="S38" s="64" t="n">
        <x:v>5</x:v>
      </x:c>
      <x:c r="T38" s="64" t="n">
        <x:f>ROUND(N38*0.30+O38*0.20+P38*0.15+Q38*0.15+R38*0.10+S38*0.10,2)</x:f>
        <x:v>3.95</x:v>
      </x:c>
      <x:c r="U38" s="60" t="str">
        <x:v>≥10 مواضع خصومية متنوعة ثم توسعة مرحلية</x:v>
      </x:c>
      <x:c r="V38" s="60" t="str">
        <x:v>3:18؛ 2:282؛ 12:26؛ 22:78</x:v>
      </x:c>
      <x:c r="W38" s="60" t="str">
        <x:v>علم، رأي، بين، صدق</x:v>
      </x:c>
      <x:c r="X38" s="60" t="str">
        <x:v>Blind Discovery → Falsification → Lexical Differentiation → LOCK</x:v>
      </x:c>
      <x:c r="Y38" s="60" t="str">
        <x:v>https://corpus.quran.com/qurandictionary.jsp?q=%24hd</x:v>
      </x:c>
    </x:row>
    <x:row r="39">
      <x:c r="A39" s="60" t="n">
        <x:v>33</x:v>
      </x:c>
      <x:c r="B39" s="60" t="str">
        <x:v>P2 — شبكات دلالية مركزية</x:v>
      </x:c>
      <x:c r="C39" s="60" t="str">
        <x:v>ح ب ب</x:v>
      </x:c>
      <x:c r="D39" s="60" t="str">
        <x:v>الحب/التحبيب</x:v>
      </x:c>
      <x:c r="E39" s="60" t="str">
        <x:v>NOT_STARTED</x:v>
      </x:c>
      <x:c r="F39" s="62" t="n">
        <x:v>95</x:v>
      </x:c>
      <x:c r="G39" s="62" t="n">
        <x:v>35</x:v>
      </x:c>
      <x:c r="H39" s="62" t="n">
        <x:v>9</x:v>
      </x:c>
      <x:c r="I39" s="62" t="n">
        <x:v>37</x:v>
      </x:c>
      <x:c r="J39" s="62" t="n">
        <x:v>2</x:v>
      </x:c>
      <x:c r="K39" s="62" t="n">
        <x:v>3</x:v>
      </x:c>
      <x:c r="L39" s="60" t="str">
        <x:v>2، 4، 10</x:v>
      </x:c>
      <x:c r="M39" s="60" t="str">
        <x:v>مرتفع</x:v>
      </x:c>
      <x:c r="N39" s="64" t="n">
        <x:v>4</x:v>
      </x:c>
      <x:c r="O39" s="64" t="n">
        <x:v>3</x:v>
      </x:c>
      <x:c r="P39" s="64" t="n">
        <x:v>4</x:v>
      </x:c>
      <x:c r="Q39" s="64" t="n">
        <x:v>5</x:v>
      </x:c>
      <x:c r="R39" s="64" t="n">
        <x:v>3</x:v>
      </x:c>
      <x:c r="S39" s="64" t="n">
        <x:v>4</x:v>
      </x:c>
      <x:c r="T39" s="64" t="n">
        <x:f>ROUND(N39*0.30+O39*0.20+P39*0.15+Q39*0.15+R39*0.10+S39*0.10,2)</x:f>
        <x:v>3.85</x:v>
      </x:c>
      <x:c r="U39" s="60" t="str">
        <x:v>≥10 مواضع خصومية متنوعة ثم توسعة مرحلية</x:v>
      </x:c>
      <x:c r="V39" s="60" t="str">
        <x:v>3:31؛ 2:165؛ 49:7؛ 14:3</x:v>
      </x:c>
      <x:c r="W39" s="60" t="str">
        <x:v>رضو، كره، ود</x:v>
      </x:c>
      <x:c r="X39" s="60" t="str">
        <x:v>Blind Discovery → Falsification → Lexical Differentiation → LOCK</x:v>
      </x:c>
      <x:c r="Y39" s="60" t="str">
        <x:v>https://corpus.quran.com/qurandictionary.jsp?q=Hbb</x:v>
      </x:c>
    </x:row>
    <x:row r="40">
      <x:c r="A40" s="60" t="n">
        <x:v>34</x:v>
      </x:c>
      <x:c r="B40" s="60" t="str">
        <x:v>P2 — شبكات دلالية مركزية</x:v>
      </x:c>
      <x:c r="C40" s="60" t="str">
        <x:v>ت و ب</x:v>
      </x:c>
      <x:c r="D40" s="60" t="str">
        <x:v>التوبة/الرجوع</x:v>
      </x:c>
      <x:c r="E40" s="60" t="str">
        <x:v>NOT_STARTED</x:v>
      </x:c>
      <x:c r="F40" s="62" t="n">
        <x:v>87</x:v>
      </x:c>
      <x:c r="G40" s="62" t="n">
        <x:v>25</x:v>
      </x:c>
      <x:c r="H40" s="62" t="n">
        <x:v>7</x:v>
      </x:c>
      <x:c r="I40" s="62" t="n">
        <x:v>36</x:v>
      </x:c>
      <x:c r="J40" s="62" t="n">
        <x:v>2</x:v>
      </x:c>
      <x:c r="K40" s="62" t="n">
        <x:v>1</x:v>
      </x:c>
      <x:c r="L40" s="60" t="str">
        <x:v>1</x:v>
      </x:c>
      <x:c r="M40" s="60" t="str">
        <x:v>مرتفع</x:v>
      </x:c>
      <x:c r="N40" s="64" t="n">
        <x:v>4</x:v>
      </x:c>
      <x:c r="O40" s="64" t="n">
        <x:v>3</x:v>
      </x:c>
      <x:c r="P40" s="64" t="n">
        <x:v>4</x:v>
      </x:c>
      <x:c r="Q40" s="64" t="n">
        <x:v>5</x:v>
      </x:c>
      <x:c r="R40" s="64" t="n">
        <x:v>3</x:v>
      </x:c>
      <x:c r="S40" s="64" t="n">
        <x:v>4</x:v>
      </x:c>
      <x:c r="T40" s="64" t="n">
        <x:f>ROUND(N40*0.30+O40*0.20+P40*0.15+Q40*0.15+R40*0.10+S40*0.10,2)</x:f>
        <x:v>3.85</x:v>
      </x:c>
      <x:c r="U40" s="60" t="str">
        <x:v>≥10 مواضع خصومية متنوعة ثم توسعة مرحلية</x:v>
      </x:c>
      <x:c r="V40" s="60" t="str">
        <x:v>9:118؛ 2:37؛ 4:17؛ 11:3</x:v>
      </x:c>
      <x:c r="W40" s="60" t="str">
        <x:v>غفر، عفو، رجع</x:v>
      </x:c>
      <x:c r="X40" s="60" t="str">
        <x:v>Blind Discovery → Falsification → Lexical Differentiation → LOCK</x:v>
      </x:c>
      <x:c r="Y40" s="60" t="str">
        <x:v>https://corpus.quran.com/qurandictionary.jsp?q=twb</x:v>
      </x:c>
    </x:row>
    <x:row r="41">
      <x:c r="A41" s="60" t="n">
        <x:v>35</x:v>
      </x:c>
      <x:c r="B41" s="60" t="str">
        <x:v>P2 — شبكات دلالية مركزية</x:v>
      </x:c>
      <x:c r="C41" s="60" t="str">
        <x:v>ر ض و (رضي)</x:v>
      </x:c>
      <x:c r="D41" s="60" t="str">
        <x:v>الرضا/القبول</x:v>
      </x:c>
      <x:c r="E41" s="60" t="str">
        <x:v>NOT_STARTED</x:v>
      </x:c>
      <x:c r="F41" s="62" t="n">
        <x:v>73</x:v>
      </x:c>
      <x:c r="G41" s="62" t="n">
        <x:v>32</x:v>
      </x:c>
      <x:c r="H41" s="62" t="n">
        <x:v>11</x:v>
      </x:c>
      <x:c r="I41" s="62" t="n">
        <x:v>45</x:v>
      </x:c>
      <x:c r="J41" s="62" t="n">
        <x:v>2</x:v>
      </x:c>
      <x:c r="K41" s="62" t="n">
        <x:v>4</x:v>
      </x:c>
      <x:c r="L41" s="60" t="str">
        <x:v>1، 4، 6، 8</x:v>
      </x:c>
      <x:c r="M41" s="60" t="str">
        <x:v>مرتفع جدًا</x:v>
      </x:c>
      <x:c r="N41" s="64" t="n">
        <x:v>4</x:v>
      </x:c>
      <x:c r="O41" s="64" t="n">
        <x:v>2</x:v>
      </x:c>
      <x:c r="P41" s="64" t="n">
        <x:v>5</x:v>
      </x:c>
      <x:c r="Q41" s="64" t="n">
        <x:v>5</x:v>
      </x:c>
      <x:c r="R41" s="64" t="n">
        <x:v>3</x:v>
      </x:c>
      <x:c r="S41" s="64" t="n">
        <x:v>4</x:v>
      </x:c>
      <x:c r="T41" s="64" t="n">
        <x:f>ROUND(N41*0.30+O41*0.20+P41*0.15+Q41*0.15+R41*0.10+S41*0.10,2)</x:f>
        <x:v>3.8</x:v>
      </x:c>
      <x:c r="U41" s="60" t="str">
        <x:v>≥10 مواضع خصومية متنوعة ثم توسعة مرحلية</x:v>
      </x:c>
      <x:c r="V41" s="60" t="str">
        <x:v>5:119؛ 9:96؛ 20:109؛ 89:28</x:v>
      </x:c>
      <x:c r="W41" s="60" t="str">
        <x:v>حبب، كره، قبول</x:v>
      </x:c>
      <x:c r="X41" s="60" t="str">
        <x:v>Blind Discovery → Falsification → Lexical Differentiation → LOCK</x:v>
      </x:c>
      <x:c r="Y41" s="60" t="str">
        <x:v>https://corpus.quran.com/qurandictionary.jsp?q=rDw</x:v>
      </x:c>
    </x:row>
    <x:row r="42">
      <x:c r="A42" s="60" t="n">
        <x:v>36</x:v>
      </x:c>
      <x:c r="B42" s="60" t="str">
        <x:v>P2 — شبكات دلالية مركزية</x:v>
      </x:c>
      <x:c r="C42" s="60" t="str">
        <x:v>ع ر ف</x:v>
      </x:c>
      <x:c r="D42" s="60" t="str">
        <x:v>التعرف/المعروف</x:v>
      </x:c>
      <x:c r="E42" s="60" t="str">
        <x:v>NOT_STARTED</x:v>
      </x:c>
      <x:c r="F42" s="62" t="n">
        <x:v>71</x:v>
      </x:c>
      <x:c r="G42" s="62" t="n">
        <x:v>26</x:v>
      </x:c>
      <x:c r="H42" s="62" t="n">
        <x:v>9</x:v>
      </x:c>
      <x:c r="I42" s="62" t="n">
        <x:v>34</x:v>
      </x:c>
      <x:c r="J42" s="62" t="n">
        <x:v>2</x:v>
      </x:c>
      <x:c r="K42" s="62" t="n">
        <x:v>4</x:v>
      </x:c>
      <x:c r="L42" s="60" t="str">
        <x:v>1، 2، 6، 8</x:v>
      </x:c>
      <x:c r="M42" s="60" t="str">
        <x:v>مرتفع جدًا</x:v>
      </x:c>
      <x:c r="N42" s="64" t="n">
        <x:v>4</x:v>
      </x:c>
      <x:c r="O42" s="64" t="n">
        <x:v>2</x:v>
      </x:c>
      <x:c r="P42" s="64" t="n">
        <x:v>5</x:v>
      </x:c>
      <x:c r="Q42" s="64" t="n">
        <x:v>5</x:v>
      </x:c>
      <x:c r="R42" s="64" t="n">
        <x:v>3</x:v>
      </x:c>
      <x:c r="S42" s="64" t="n">
        <x:v>4</x:v>
      </x:c>
      <x:c r="T42" s="64" t="n">
        <x:f>ROUND(N42*0.30+O42*0.20+P42*0.15+Q42*0.15+R42*0.10+S42*0.10,2)</x:f>
        <x:v>3.8</x:v>
      </x:c>
      <x:c r="U42" s="60" t="str">
        <x:v>≥10 مواضع خصومية متنوعة ثم توسعة مرحلية</x:v>
      </x:c>
      <x:c r="V42" s="60" t="str">
        <x:v>2:89؛ 49:13؛ 47:6؛ 7:46</x:v>
      </x:c>
      <x:c r="W42" s="60" t="str">
        <x:v>علم، بين، شهد</x:v>
      </x:c>
      <x:c r="X42" s="60" t="str">
        <x:v>Blind Discovery → Falsification → Lexical Differentiation → LOCK</x:v>
      </x:c>
      <x:c r="Y42" s="60" t="str">
        <x:v>https://corpus.quran.com/qurandictionary.jsp?q=Erf</x:v>
      </x:c>
    </x:row>
    <x:row r="43">
      <x:c r="A43" s="60" t="n">
        <x:v>37</x:v>
      </x:c>
      <x:c r="B43" s="60" t="str">
        <x:v>P2 — شبكات دلالية مركزية</x:v>
      </x:c>
      <x:c r="C43" s="60" t="str">
        <x:v>ر و ح</x:v>
      </x:c>
      <x:c r="D43" s="60" t="str">
        <x:v>الروح/الريح/الرَّوح</x:v>
      </x:c>
      <x:c r="E43" s="60" t="str">
        <x:v>NOT_STARTED</x:v>
      </x:c>
      <x:c r="F43" s="62" t="n">
        <x:v>57</x:v>
      </x:c>
      <x:c r="G43" s="62" t="n">
        <x:v>40</x:v>
      </x:c>
      <x:c r="H43" s="62" t="n">
        <x:v>6</x:v>
      </x:c>
      <x:c r="I43" s="62" t="n">
        <x:v>33</x:v>
      </x:c>
      <x:c r="J43" s="62" t="n">
        <x:v>2</x:v>
      </x:c>
      <x:c r="K43" s="62" t="n">
        <x:v>1</x:v>
      </x:c>
      <x:c r="L43" s="60" t="str">
        <x:v>4</x:v>
      </x:c>
      <x:c r="M43" s="60" t="str">
        <x:v>متوسط</x:v>
      </x:c>
      <x:c r="N43" s="64" t="n">
        <x:v>4</x:v>
      </x:c>
      <x:c r="O43" s="64" t="n">
        <x:v>2</x:v>
      </x:c>
      <x:c r="P43" s="64" t="n">
        <x:v>3</x:v>
      </x:c>
      <x:c r="Q43" s="64" t="n">
        <x:v>5</x:v>
      </x:c>
      <x:c r="R43" s="64" t="n">
        <x:v>5</x:v>
      </x:c>
      <x:c r="S43" s="64" t="n">
        <x:v>5</x:v>
      </x:c>
      <x:c r="T43" s="64" t="n">
        <x:f>ROUND(N43*0.30+O43*0.20+P43*0.15+Q43*0.15+R43*0.10+S43*0.10,2)</x:f>
        <x:v>3.8</x:v>
      </x:c>
      <x:c r="U43" s="60" t="str">
        <x:v>≥10 مواضع خصومية متنوعة ثم توسعة مرحلية</x:v>
      </x:c>
      <x:c r="V43" s="60" t="str">
        <x:v>15:29؛ 17:85؛ 12:87؛ 58:22</x:v>
      </x:c>
      <x:c r="W43" s="60" t="str">
        <x:v>نفس، حيي، ريح</x:v>
      </x:c>
      <x:c r="X43" s="60" t="str">
        <x:v>Blind Discovery → Falsification → Lexical Differentiation → LOCK</x:v>
      </x:c>
      <x:c r="Y43" s="60" t="str">
        <x:v>https://corpus.quran.com/qurandictionary.jsp?q=rwH</x:v>
      </x:c>
    </x:row>
    <x:row r="44">
      <x:c r="A44" s="60" t="n">
        <x:v>38</x:v>
      </x:c>
      <x:c r="B44" s="60" t="str">
        <x:v>P2 — شبكات دلالية مركزية</x:v>
      </x:c>
      <x:c r="C44" s="60" t="str">
        <x:v>ك ر ه</x:v>
      </x:c>
      <x:c r="D44" s="60" t="str">
        <x:v>الكراهة/الإكراه</x:v>
      </x:c>
      <x:c r="E44" s="60" t="str">
        <x:v>NOT_STARTED</x:v>
      </x:c>
      <x:c r="F44" s="62" t="n">
        <x:v>41</x:v>
      </x:c>
      <x:c r="G44" s="62" t="n">
        <x:v>21</x:v>
      </x:c>
      <x:c r="H44" s="62" t="n">
        <x:v>8</x:v>
      </x:c>
      <x:c r="I44" s="62" t="n">
        <x:v>24</x:v>
      </x:c>
      <x:c r="J44" s="62" t="n">
        <x:v>2</x:v>
      </x:c>
      <x:c r="K44" s="62" t="n">
        <x:v>3</x:v>
      </x:c>
      <x:c r="L44" s="60" t="str">
        <x:v>1، 2، 4</x:v>
      </x:c>
      <x:c r="M44" s="60" t="str">
        <x:v>مرتفع</x:v>
      </x:c>
      <x:c r="N44" s="64" t="n">
        <x:v>4</x:v>
      </x:c>
      <x:c r="O44" s="64" t="n">
        <x:v>2</x:v>
      </x:c>
      <x:c r="P44" s="64" t="n">
        <x:v>4</x:v>
      </x:c>
      <x:c r="Q44" s="64" t="n">
        <x:v>5</x:v>
      </x:c>
      <x:c r="R44" s="64" t="n">
        <x:v>3</x:v>
      </x:c>
      <x:c r="S44" s="64" t="n">
        <x:v>4</x:v>
      </x:c>
      <x:c r="T44" s="64" t="n">
        <x:f>ROUND(N44*0.30+O44*0.20+P44*0.15+Q44*0.15+R44*0.10+S44*0.10,2)</x:f>
        <x:v>3.65</x:v>
      </x:c>
      <x:c r="U44" s="60" t="str">
        <x:v>≥10 مواضع خصومية متنوعة ثم توسعة مرحلية</x:v>
      </x:c>
      <x:c r="V44" s="60" t="str">
        <x:v>2:216؛ 49:7؛ 16:106؛ 9:46</x:v>
      </x:c>
      <x:c r="W44" s="60" t="str">
        <x:v>حبب، رضو، بغض</x:v>
      </x:c>
      <x:c r="X44" s="60" t="str">
        <x:v>Blind Discovery → Falsification → Lexical Differentiation → LOCK</x:v>
      </x:c>
      <x:c r="Y44" s="60" t="str">
        <x:v>https://corpus.quran.com/qurandictionary.jsp?q=krh</x:v>
      </x:c>
    </x:row>
    <x:row r="45">
      <x:c r="A45" s="60" t="n">
        <x:v>39</x:v>
      </x:c>
      <x:c r="B45" s="60" t="str">
        <x:v>P2 — شبكات دلالية مركزية</x:v>
      </x:c>
      <x:c r="C45" s="60" t="str">
        <x:v>ع ف و</x:v>
      </x:c>
      <x:c r="D45" s="60" t="str">
        <x:v>العفو/التجاوز</x:v>
      </x:c>
      <x:c r="E45" s="60" t="str">
        <x:v>NOT_STARTED</x:v>
      </x:c>
      <x:c r="F45" s="62" t="n">
        <x:v>35</x:v>
      </x:c>
      <x:c r="G45" s="62" t="n">
        <x:v>11</x:v>
      </x:c>
      <x:c r="H45" s="62" t="n">
        <x:v>4</x:v>
      </x:c>
      <x:c r="I45" s="62" t="n">
        <x:v>22</x:v>
      </x:c>
      <x:c r="J45" s="62" t="n">
        <x:v>2</x:v>
      </x:c>
      <x:c r="K45" s="62" t="n">
        <x:v>1</x:v>
      </x:c>
      <x:c r="L45" s="60" t="str">
        <x:v>1</x:v>
      </x:c>
      <x:c r="M45" s="60" t="str">
        <x:v>متوسط</x:v>
      </x:c>
      <x:c r="N45" s="64" t="n">
        <x:v>4</x:v>
      </x:c>
      <x:c r="O45" s="64" t="n">
        <x:v>2</x:v>
      </x:c>
      <x:c r="P45" s="64" t="n">
        <x:v>3</x:v>
      </x:c>
      <x:c r="Q45" s="64" t="n">
        <x:v>5</x:v>
      </x:c>
      <x:c r="R45" s="64" t="n">
        <x:v>3</x:v>
      </x:c>
      <x:c r="S45" s="64" t="n">
        <x:v>4</x:v>
      </x:c>
      <x:c r="T45" s="64" t="n">
        <x:f>ROUND(N45*0.30+O45*0.20+P45*0.15+Q45*0.15+R45*0.10+S45*0.10,2)</x:f>
        <x:v>3.5</x:v>
      </x:c>
      <x:c r="U45" s="60" t="str">
        <x:v>≥10 مواضع خصومية متنوعة ثم توسعة مرحلية</x:v>
      </x:c>
      <x:c r="V45" s="60" t="str">
        <x:v>2:219؛ 4:149؛ 42:40؛ 5:15</x:v>
      </x:c>
      <x:c r="W45" s="60" t="str">
        <x:v>غفر، رحم، صفح</x:v>
      </x:c>
      <x:c r="X45" s="60" t="str">
        <x:v>Blind Discovery → Falsification → Lexical Differentiation → LOCK</x:v>
      </x:c>
      <x:c r="Y45" s="60" t="str">
        <x:v>https://corpus.quran.com/qurandictionary.jsp?q=Efw</x:v>
      </x:c>
    </x:row>
    <x:row r="46">
      <x:c r="A46" s="60" t="n">
        <x:v>40</x:v>
      </x:c>
      <x:c r="B46" s="60" t="str">
        <x:v>P2 — شبكات دلالية مركزية</x:v>
      </x:c>
      <x:c r="C46" s="60" t="str">
        <x:v>ع ق ل</x:v>
      </x:c>
      <x:c r="D46" s="60" t="str">
        <x:v>العقل/الربط الإدراكي</x:v>
      </x:c>
      <x:c r="E46" s="60" t="str">
        <x:v>NOT_STARTED</x:v>
      </x:c>
      <x:c r="F46" s="62" t="n">
        <x:v>49</x:v>
      </x:c>
      <x:c r="G46" s="62" t="n">
        <x:v>30</x:v>
      </x:c>
      <x:c r="H46" s="62" t="n">
        <x:v>1</x:v>
      </x:c>
      <x:c r="I46" s="62" t="n">
        <x:v>5</x:v>
      </x:c>
      <x:c r="J46" s="62" t="n">
        <x:v>1</x:v>
      </x:c>
      <x:c r="K46" s="62" t="n">
        <x:v>1</x:v>
      </x:c>
      <x:c r="L46" s="60" t="str">
        <x:v>1</x:v>
      </x:c>
      <x:c r="M46" s="60" t="str">
        <x:v>منخفض</x:v>
      </x:c>
      <x:c r="N46" s="64" t="n">
        <x:v>4</x:v>
      </x:c>
      <x:c r="O46" s="64" t="n">
        <x:v>2</x:v>
      </x:c>
      <x:c r="P46" s="64" t="n">
        <x:v>1</x:v>
      </x:c>
      <x:c r="Q46" s="64" t="n">
        <x:v>5</x:v>
      </x:c>
      <x:c r="R46" s="64" t="n">
        <x:v>3</x:v>
      </x:c>
      <x:c r="S46" s="64" t="n">
        <x:v>4</x:v>
      </x:c>
      <x:c r="T46" s="64" t="n">
        <x:f>ROUND(N46*0.30+O46*0.20+P46*0.15+Q46*0.15+R46*0.10+S46*0.10,2)</x:f>
        <x:v>3.2</x:v>
      </x:c>
      <x:c r="U46" s="60" t="str">
        <x:v>≥10 مواضع خصومية متنوعة ثم توسعة مرحلية</x:v>
      </x:c>
      <x:c r="V46" s="60" t="str">
        <x:v>2:44؛ 22:46؛ 67:10؛ 29:43</x:v>
      </x:c>
      <x:c r="W46" s="60" t="str">
        <x:v>فقه، علم، ذكر</x:v>
      </x:c>
      <x:c r="X46" s="60" t="str">
        <x:v>Blind Discovery → Falsification → Lexical Differentiation → LOCK</x:v>
      </x:c>
      <x:c r="Y46" s="60" t="str">
        <x:v>https://corpus.quran.com/qurandictionary.jsp?q=Eql</x:v>
      </x:c>
    </x:row>
    <x:row r="47">
      <x:c r="A47" s="60" t="n">
        <x:v>41</x:v>
      </x:c>
      <x:c r="B47" s="60" t="str">
        <x:v>P3 — جذور تفريق واختبار</x:v>
      </x:c>
      <x:c r="C47" s="60" t="str">
        <x:v>ب ع د</x:v>
      </x:c>
      <x:c r="D47" s="60" t="str">
        <x:v>البعد</x:v>
      </x:c>
      <x:c r="E47" s="60" t="str">
        <x:v>NOT_STARTED</x:v>
      </x:c>
      <x:c r="F47" s="62" t="n">
        <x:v>235</x:v>
      </x:c>
      <x:c r="G47" s="62" t="n">
        <x:v>57</x:v>
      </x:c>
      <x:c r="H47" s="62" t="n">
        <x:v>6</x:v>
      </x:c>
      <x:c r="I47" s="62" t="n">
        <x:v>29</x:v>
      </x:c>
      <x:c r="J47" s="62" t="n">
        <x:v>2</x:v>
      </x:c>
      <x:c r="K47" s="62" t="n">
        <x:v>3</x:v>
      </x:c>
      <x:c r="L47" s="60" t="str">
        <x:v>1، 3، 4</x:v>
      </x:c>
      <x:c r="M47" s="60" t="str">
        <x:v>مرتفع</x:v>
      </x:c>
      <x:c r="N47" s="64" t="n">
        <x:v>3</x:v>
      </x:c>
      <x:c r="O47" s="64" t="n">
        <x:v>4</x:v>
      </x:c>
      <x:c r="P47" s="64" t="n">
        <x:v>4</x:v>
      </x:c>
      <x:c r="Q47" s="64" t="n">
        <x:v>5</x:v>
      </x:c>
      <x:c r="R47" s="64" t="n">
        <x:v>3</x:v>
      </x:c>
      <x:c r="S47" s="64" t="n">
        <x:v>4</x:v>
      </x:c>
      <x:c r="T47" s="64" t="n">
        <x:f>ROUND(N47*0.30+O47*0.20+P47*0.15+Q47*0.15+R47*0.10+S47*0.10,2)</x:f>
        <x:v>3.75</x:v>
      </x:c>
      <x:c r="U47" s="60" t="str">
        <x:v>≥10 مواضع خصومية متنوعة ثم توسعة مرحلية</x:v>
      </x:c>
      <x:c r="V47" s="60" t="str">
        <x:v>11:44؛ 50:31؛ 14:3؛ 21:109</x:v>
      </x:c>
      <x:c r="W47" s="60" t="str">
        <x:v>قرب، قطع، إعراض</x:v>
      </x:c>
      <x:c r="X47" s="60" t="str">
        <x:v>Blind Discovery → Falsification → Lexical Differentiation → LOCK</x:v>
      </x:c>
      <x:c r="Y47" s="60" t="str">
        <x:v>https://corpus.quran.com/qurandictionary.jsp?q=bEd</x:v>
      </x:c>
    </x:row>
    <x:row r="48">
      <x:c r="A48" s="60" t="n">
        <x:v>42</x:v>
      </x:c>
      <x:c r="B48" s="60" t="str">
        <x:v>P3 — جذور تفريق واختبار</x:v>
      </x:c>
      <x:c r="C48" s="60" t="str">
        <x:v>ج م ع</x:v>
      </x:c>
      <x:c r="D48" s="60" t="str">
        <x:v>الجمع/الوحدة</x:v>
      </x:c>
      <x:c r="E48" s="60" t="str">
        <x:v>NOT_STARTED</x:v>
      </x:c>
      <x:c r="F48" s="62" t="n">
        <x:v>129</x:v>
      </x:c>
      <x:c r="G48" s="62" t="n">
        <x:v>45</x:v>
      </x:c>
      <x:c r="H48" s="62" t="n">
        <x:v>11</x:v>
      </x:c>
      <x:c r="I48" s="62" t="n">
        <x:v>42</x:v>
      </x:c>
      <x:c r="J48" s="62" t="n">
        <x:v>2</x:v>
      </x:c>
      <x:c r="K48" s="62" t="n">
        <x:v>3</x:v>
      </x:c>
      <x:c r="L48" s="60" t="str">
        <x:v>1، 4، 8</x:v>
      </x:c>
      <x:c r="M48" s="60" t="str">
        <x:v>مرتفع جدًا</x:v>
      </x:c>
      <x:c r="N48" s="64" t="n">
        <x:v>3</x:v>
      </x:c>
      <x:c r="O48" s="64" t="n">
        <x:v>3</x:v>
      </x:c>
      <x:c r="P48" s="64" t="n">
        <x:v>5</x:v>
      </x:c>
      <x:c r="Q48" s="64" t="n">
        <x:v>5</x:v>
      </x:c>
      <x:c r="R48" s="64" t="n">
        <x:v>3</x:v>
      </x:c>
      <x:c r="S48" s="64" t="n">
        <x:v>4</x:v>
      </x:c>
      <x:c r="T48" s="64" t="n">
        <x:f>ROUND(N48*0.30+O48*0.20+P48*0.15+Q48*0.15+R48*0.10+S48*0.10,2)</x:f>
        <x:v>3.7</x:v>
      </x:c>
      <x:c r="U48" s="60" t="str">
        <x:v>≥10 مواضع خصومية متنوعة ثم توسعة مرحلية</x:v>
      </x:c>
      <x:c r="V48" s="60" t="str">
        <x:v>6:12؛ 3:103؛ 75:17؛ 18:61</x:v>
      </x:c>
      <x:c r="W48" s="60" t="str">
        <x:v>فرق، ألف، ضمم، ربط</x:v>
      </x:c>
      <x:c r="X48" s="60" t="str">
        <x:v>Blind Discovery → Falsification → Lexical Differentiation → LOCK</x:v>
      </x:c>
      <x:c r="Y48" s="60" t="str">
        <x:v>https://corpus.quran.com/qurandictionary.jsp?q=jmE</x:v>
      </x:c>
    </x:row>
    <x:row r="49">
      <x:c r="A49" s="60" t="n">
        <x:v>43</x:v>
      </x:c>
      <x:c r="B49" s="60" t="str">
        <x:v>P3 — جذور تفريق واختبار</x:v>
      </x:c>
      <x:c r="C49" s="60" t="str">
        <x:v>ق ر ب</x:v>
      </x:c>
      <x:c r="D49" s="60" t="str">
        <x:v>القرب/الدنو</x:v>
      </x:c>
      <x:c r="E49" s="60" t="str">
        <x:v>NOT_STARTED</x:v>
      </x:c>
      <x:c r="F49" s="62" t="n">
        <x:v>96</x:v>
      </x:c>
      <x:c r="G49" s="62" t="n">
        <x:v>41</x:v>
      </x:c>
      <x:c r="H49" s="62" t="n">
        <x:v>11</x:v>
      </x:c>
      <x:c r="I49" s="62" t="n">
        <x:v>37</x:v>
      </x:c>
      <x:c r="J49" s="62" t="n">
        <x:v>2</x:v>
      </x:c>
      <x:c r="K49" s="62" t="n">
        <x:v>3</x:v>
      </x:c>
      <x:c r="L49" s="60" t="str">
        <x:v>1، 2، 8</x:v>
      </x:c>
      <x:c r="M49" s="60" t="str">
        <x:v>مرتفع جدًا</x:v>
      </x:c>
      <x:c r="N49" s="64" t="n">
        <x:v>3</x:v>
      </x:c>
      <x:c r="O49" s="64" t="n">
        <x:v>3</x:v>
      </x:c>
      <x:c r="P49" s="64" t="n">
        <x:v>5</x:v>
      </x:c>
      <x:c r="Q49" s="64" t="n">
        <x:v>5</x:v>
      </x:c>
      <x:c r="R49" s="64" t="n">
        <x:v>3</x:v>
      </x:c>
      <x:c r="S49" s="64" t="n">
        <x:v>4</x:v>
      </x:c>
      <x:c r="T49" s="64" t="n">
        <x:f>ROUND(N49*0.30+O49*0.20+P49*0.15+Q49*0.15+R49*0.10+S49*0.10,2)</x:f>
        <x:v>3.7</x:v>
      </x:c>
      <x:c r="U49" s="60" t="str">
        <x:v>≥10 مواضع خصومية متنوعة ثم توسعة مرحلية</x:v>
      </x:c>
      <x:c r="V49" s="60" t="str">
        <x:v>2:35؛ 17:32؛ 50:16؛ 5:27</x:v>
      </x:c>
      <x:c r="W49" s="60" t="str">
        <x:v>بعد، وصل، دنو</x:v>
      </x:c>
      <x:c r="X49" s="60" t="str">
        <x:v>Blind Discovery → Falsification → Lexical Differentiation → LOCK</x:v>
      </x:c>
      <x:c r="Y49" s="60" t="str">
        <x:v>https://corpus.quran.com/qurandictionary.jsp?q=qrb</x:v>
      </x:c>
    </x:row>
    <x:row r="50">
      <x:c r="A50" s="60" t="n">
        <x:v>44</x:v>
      </x:c>
      <x:c r="B50" s="60" t="str">
        <x:v>P3 — جذور تفريق واختبار</x:v>
      </x:c>
      <x:c r="C50" s="60" t="str">
        <x:v>ع ر ض</x:v>
      </x:c>
      <x:c r="D50" s="60" t="str">
        <x:v>العرض/الإعراض</x:v>
      </x:c>
      <x:c r="E50" s="60" t="str">
        <x:v>NOT_STARTED</x:v>
      </x:c>
      <x:c r="F50" s="62" t="n">
        <x:v>79</x:v>
      </x:c>
      <x:c r="G50" s="62" t="n">
        <x:v>35</x:v>
      </x:c>
      <x:c r="H50" s="62" t="n">
        <x:v>10</x:v>
      </x:c>
      <x:c r="I50" s="62" t="n">
        <x:v>40</x:v>
      </x:c>
      <x:c r="J50" s="62" t="n">
        <x:v>2</x:v>
      </x:c>
      <x:c r="K50" s="62" t="n">
        <x:v>3</x:v>
      </x:c>
      <x:c r="L50" s="60" t="str">
        <x:v>1، 2، 4</x:v>
      </x:c>
      <x:c r="M50" s="60" t="str">
        <x:v>مرتفع جدًا</x:v>
      </x:c>
      <x:c r="N50" s="64" t="n">
        <x:v>3</x:v>
      </x:c>
      <x:c r="O50" s="64" t="n">
        <x:v>2</x:v>
      </x:c>
      <x:c r="P50" s="64" t="n">
        <x:v>5</x:v>
      </x:c>
      <x:c r="Q50" s="64" t="n">
        <x:v>5</x:v>
      </x:c>
      <x:c r="R50" s="64" t="n">
        <x:v>3</x:v>
      </x:c>
      <x:c r="S50" s="64" t="n">
        <x:v>4</x:v>
      </x:c>
      <x:c r="T50" s="64" t="n">
        <x:f>ROUND(N50*0.30+O50*0.20+P50*0.15+Q50*0.15+R50*0.10+S50*0.10,2)</x:f>
        <x:v>3.5</x:v>
      </x:c>
      <x:c r="U50" s="60" t="str">
        <x:v>≥10 مواضع خصومية متنوعة ثم توسعة مرحلية</x:v>
      </x:c>
      <x:c r="V50" s="60" t="str">
        <x:v>4:128؛ 2:31؛ 33:72؛ 18:100</x:v>
      </x:c>
      <x:c r="W50" s="60" t="str">
        <x:v>نشز، بعد، ولي/تولى</x:v>
      </x:c>
      <x:c r="X50" s="60" t="str">
        <x:v>Blind Discovery → Falsification → Lexical Differentiation → LOCK</x:v>
      </x:c>
      <x:c r="Y50" s="60" t="str">
        <x:v>https://corpus.quran.com/qurandictionary.jsp?q=ErD</x:v>
      </x:c>
    </x:row>
    <x:row r="51">
      <x:c r="A51" s="60" t="n">
        <x:v>45</x:v>
      </x:c>
      <x:c r="B51" s="60" t="str">
        <x:v>P3 — جذور تفريق واختبار</x:v>
      </x:c>
      <x:c r="C51" s="60" t="str">
        <x:v>ف ر ق</x:v>
      </x:c>
      <x:c r="D51" s="60" t="str">
        <x:v>الفرق/التفريق</x:v>
      </x:c>
      <x:c r="E51" s="60" t="str">
        <x:v>NOT_STARTED</x:v>
      </x:c>
      <x:c r="F51" s="62" t="n">
        <x:v>72</x:v>
      </x:c>
      <x:c r="G51" s="62" t="n">
        <x:v>30</x:v>
      </x:c>
      <x:c r="H51" s="62" t="n">
        <x:v>14</x:v>
      </x:c>
      <x:c r="I51" s="62" t="n">
        <x:v>41</x:v>
      </x:c>
      <x:c r="J51" s="62" t="n">
        <x:v>2</x:v>
      </x:c>
      <x:c r="K51" s="62" t="n">
        <x:v>4</x:v>
      </x:c>
      <x:c r="L51" s="60" t="str">
        <x:v>1، 2، 3، 5</x:v>
      </x:c>
      <x:c r="M51" s="60" t="str">
        <x:v>مرتفع جدًا</x:v>
      </x:c>
      <x:c r="N51" s="64" t="n">
        <x:v>3</x:v>
      </x:c>
      <x:c r="O51" s="64" t="n">
        <x:v>2</x:v>
      </x:c>
      <x:c r="P51" s="64" t="n">
        <x:v>5</x:v>
      </x:c>
      <x:c r="Q51" s="64" t="n">
        <x:v>5</x:v>
      </x:c>
      <x:c r="R51" s="64" t="n">
        <x:v>3</x:v>
      </x:c>
      <x:c r="S51" s="64" t="n">
        <x:v>4</x:v>
      </x:c>
      <x:c r="T51" s="64" t="n">
        <x:f>ROUND(N51*0.30+O51*0.20+P51*0.15+Q51*0.15+R51*0.10+S51*0.10,2)</x:f>
        <x:v>3.5</x:v>
      </x:c>
      <x:c r="U51" s="60" t="str">
        <x:v>≥10 مواضع خصومية متنوعة ثم توسعة مرحلية</x:v>
      </x:c>
      <x:c r="V51" s="60" t="str">
        <x:v>2:53؛ 2:285؛ 3:103؛ 77:4</x:v>
      </x:c>
      <x:c r="W51" s="60" t="str">
        <x:v>جمع، بين، قطع، فصل</x:v>
      </x:c>
      <x:c r="X51" s="60" t="str">
        <x:v>Blind Discovery → Falsification → Lexical Differentiation → LOCK</x:v>
      </x:c>
      <x:c r="Y51" s="60" t="str">
        <x:v>https://corpus.quran.com/qurandictionary.jsp?q=frq</x:v>
      </x:c>
    </x:row>
    <x:row r="52">
      <x:c r="A52" s="60" t="n">
        <x:v>46</x:v>
      </x:c>
      <x:c r="B52" s="60" t="str">
        <x:v>P3 — جذور تفريق واختبار</x:v>
      </x:c>
      <x:c r="C52" s="60" t="str">
        <x:v>ق ط ع</x:v>
      </x:c>
      <x:c r="D52" s="60" t="str">
        <x:v>القطع</x:v>
      </x:c>
      <x:c r="E52" s="60" t="str">
        <x:v>NOT_STARTED</x:v>
      </x:c>
      <x:c r="F52" s="62" t="n">
        <x:v>36</x:v>
      </x:c>
      <x:c r="G52" s="62" t="n">
        <x:v>23</x:v>
      </x:c>
      <x:c r="H52" s="62" t="n">
        <x:v>8</x:v>
      </x:c>
      <x:c r="I52" s="62" t="n">
        <x:v>32</x:v>
      </x:c>
      <x:c r="J52" s="62" t="n">
        <x:v>2</x:v>
      </x:c>
      <x:c r="K52" s="62" t="n">
        <x:v>3</x:v>
      </x:c>
      <x:c r="L52" s="60" t="str">
        <x:v>1، 2، 5</x:v>
      </x:c>
      <x:c r="M52" s="60" t="str">
        <x:v>مرتفع</x:v>
      </x:c>
      <x:c r="N52" s="64" t="n">
        <x:v>3</x:v>
      </x:c>
      <x:c r="O52" s="64" t="n">
        <x:v>2</x:v>
      </x:c>
      <x:c r="P52" s="64" t="n">
        <x:v>4</x:v>
      </x:c>
      <x:c r="Q52" s="64" t="n">
        <x:v>5</x:v>
      </x:c>
      <x:c r="R52" s="64" t="n">
        <x:v>3</x:v>
      </x:c>
      <x:c r="S52" s="64" t="n">
        <x:v>4</x:v>
      </x:c>
      <x:c r="T52" s="64" t="n">
        <x:f>ROUND(N52*0.30+O52*0.20+P52*0.15+Q52*0.15+R52*0.10+S52*0.10,2)</x:f>
        <x:v>3.35</x:v>
      </x:c>
      <x:c r="U52" s="60" t="str">
        <x:v>≥10 مواضع خصومية متنوعة ثم توسعة مرحلية</x:v>
      </x:c>
      <x:c r="V52" s="60" t="str">
        <x:v>2:27؛ 47:22؛ 12:31؛ 69:46</x:v>
      </x:c>
      <x:c r="W52" s="60" t="str">
        <x:v>وصل، فرق، فصل</x:v>
      </x:c>
      <x:c r="X52" s="60" t="str">
        <x:v>Blind Discovery → Falsification → Lexical Differentiation → LOCK</x:v>
      </x:c>
      <x:c r="Y52" s="60" t="str">
        <x:v>https://corpus.quran.com/qurandictionary.jsp?q=qTE</x:v>
      </x:c>
    </x:row>
    <x:row r="53">
      <x:c r="A53" s="60" t="n">
        <x:v>47</x:v>
      </x:c>
      <x:c r="B53" s="60" t="str">
        <x:v>P3 — جذور تفريق واختبار</x:v>
      </x:c>
      <x:c r="C53" s="60" t="str">
        <x:v>أ ل ف</x:v>
      </x:c>
      <x:c r="D53" s="60" t="str">
        <x:v>الألفة/التأليف والعدد</x:v>
      </x:c>
      <x:c r="E53" s="60" t="str">
        <x:v>NOT_STARTED</x:v>
      </x:c>
      <x:c r="F53" s="62" t="n">
        <x:v>22</x:v>
      </x:c>
      <x:c r="G53" s="62" t="n">
        <x:v>12</x:v>
      </x:c>
      <x:c r="H53" s="62" t="n">
        <x:v>4</x:v>
      </x:c>
      <x:c r="I53" s="62" t="n">
        <x:v>18</x:v>
      </x:c>
      <x:c r="J53" s="62" t="n">
        <x:v>2</x:v>
      </x:c>
      <x:c r="K53" s="62" t="n">
        <x:v>2</x:v>
      </x:c>
      <x:c r="L53" s="60" t="str">
        <x:v>2، 4</x:v>
      </x:c>
      <x:c r="M53" s="60" t="str">
        <x:v>متوسط</x:v>
      </x:c>
      <x:c r="N53" s="64" t="n">
        <x:v>3</x:v>
      </x:c>
      <x:c r="O53" s="64" t="n">
        <x:v>2</x:v>
      </x:c>
      <x:c r="P53" s="64" t="n">
        <x:v>3</x:v>
      </x:c>
      <x:c r="Q53" s="64" t="n">
        <x:v>5</x:v>
      </x:c>
      <x:c r="R53" s="64" t="n">
        <x:v>3</x:v>
      </x:c>
      <x:c r="S53" s="64" t="n">
        <x:v>4</x:v>
      </x:c>
      <x:c r="T53" s="64" t="n">
        <x:f>ROUND(N53*0.30+O53*0.20+P53*0.15+Q53*0.15+R53*0.10+S53*0.10,2)</x:f>
        <x:v>3.2</x:v>
      </x:c>
      <x:c r="U53" s="60" t="str">
        <x:v>≥10 مواضع خصومية متنوعة ثم توسعة مرحلية</x:v>
      </x:c>
      <x:c r="V53" s="60" t="str">
        <x:v>3:103؛ 8:63؛ 106:1؛ 2:96</x:v>
      </x:c>
      <x:c r="W53" s="60" t="str">
        <x:v>جمع، ربط، حبب، العدد ألف</x:v>
      </x:c>
      <x:c r="X53" s="60" t="str">
        <x:v>Blind Discovery → Falsification → Lexical Differentiation → LOCK</x:v>
      </x:c>
      <x:c r="Y53" s="60" t="str">
        <x:v>https://corpus.quran.com/qurandictionary.jsp?q=Alf</x:v>
      </x:c>
    </x:row>
    <x:row r="54">
      <x:c r="A54" s="60" t="n">
        <x:v>48</x:v>
      </x:c>
      <x:c r="B54" s="60" t="str">
        <x:v>P3 — جذور تفريق واختبار</x:v>
      </x:c>
      <x:c r="C54" s="60" t="str">
        <x:v>ص ن ع</x:v>
      </x:c>
      <x:c r="D54" s="60" t="str">
        <x:v>الصنعة/الإتقان</x:v>
      </x:c>
      <x:c r="E54" s="60" t="str">
        <x:v>NOT_STARTED</x:v>
      </x:c>
      <x:c r="F54" s="62" t="n">
        <x:v>20</x:v>
      </x:c>
      <x:c r="G54" s="62" t="n">
        <x:v>14</x:v>
      </x:c>
      <x:c r="H54" s="62" t="n">
        <x:v>5</x:v>
      </x:c>
      <x:c r="I54" s="62" t="n">
        <x:v>14</x:v>
      </x:c>
      <x:c r="J54" s="62" t="n">
        <x:v>2</x:v>
      </x:c>
      <x:c r="K54" s="62" t="n">
        <x:v>2</x:v>
      </x:c>
      <x:c r="L54" s="60" t="str">
        <x:v>1، 8</x:v>
      </x:c>
      <x:c r="M54" s="60" t="str">
        <x:v>متوسط</x:v>
      </x:c>
      <x:c r="N54" s="64" t="n">
        <x:v>3</x:v>
      </x:c>
      <x:c r="O54" s="64" t="n">
        <x:v>2</x:v>
      </x:c>
      <x:c r="P54" s="64" t="n">
        <x:v>3</x:v>
      </x:c>
      <x:c r="Q54" s="64" t="n">
        <x:v>5</x:v>
      </x:c>
      <x:c r="R54" s="64" t="n">
        <x:v>3</x:v>
      </x:c>
      <x:c r="S54" s="64" t="n">
        <x:v>4</x:v>
      </x:c>
      <x:c r="T54" s="64" t="n">
        <x:f>ROUND(N54*0.30+O54*0.20+P54*0.15+Q54*0.15+R54*0.10+S54*0.10,2)</x:f>
        <x:v>3.2</x:v>
      </x:c>
      <x:c r="U54" s="60" t="str">
        <x:v>100% من جميع المواضع</x:v>
      </x:c>
      <x:c r="V54" s="60" t="str">
        <x:v>27:88؛ 20:39؛ 11:37؛ 26:129</x:v>
      </x:c>
      <x:c r="W54" s="60" t="str">
        <x:v>فعل، عمل، خلق، جعل</x:v>
      </x:c>
      <x:c r="X54" s="60" t="str">
        <x:v>Blind Discovery → Falsification → Lexical Differentiation → LOCK</x:v>
      </x:c>
      <x:c r="Y54" s="60" t="str">
        <x:v>https://corpus.quran.com/qurandictionary.jsp?q=SnE</x:v>
      </x:c>
    </x:row>
    <x:row r="55">
      <x:c r="A55" s="60" t="n">
        <x:v>49</x:v>
      </x:c>
      <x:c r="B55" s="60" t="str">
        <x:v>P3 — جذور تفريق واختبار</x:v>
      </x:c>
      <x:c r="C55" s="60" t="str">
        <x:v>ث ب ت</x:v>
      </x:c>
      <x:c r="D55" s="60" t="str">
        <x:v>الثبات/التثبيت</x:v>
      </x:c>
      <x:c r="E55" s="60" t="str">
        <x:v>NOT_STARTED</x:v>
      </x:c>
      <x:c r="F55" s="62" t="n">
        <x:v>18</x:v>
      </x:c>
      <x:c r="G55" s="62" t="n">
        <x:v>11</x:v>
      </x:c>
      <x:c r="H55" s="62" t="n">
        <x:v>6</x:v>
      </x:c>
      <x:c r="I55" s="62" t="n">
        <x:v>17</x:v>
      </x:c>
      <x:c r="J55" s="62" t="n">
        <x:v>2</x:v>
      </x:c>
      <x:c r="K55" s="62" t="n">
        <x:v>3</x:v>
      </x:c>
      <x:c r="L55" s="60" t="str">
        <x:v>1، 2، 4</x:v>
      </x:c>
      <x:c r="M55" s="60" t="str">
        <x:v>مرتفع</x:v>
      </x:c>
      <x:c r="N55" s="64" t="n">
        <x:v>3</x:v>
      </x:c>
      <x:c r="O55" s="64" t="n">
        <x:v>1</x:v>
      </x:c>
      <x:c r="P55" s="64" t="n">
        <x:v>4</x:v>
      </x:c>
      <x:c r="Q55" s="64" t="n">
        <x:v>5</x:v>
      </x:c>
      <x:c r="R55" s="64" t="n">
        <x:v>3</x:v>
      </x:c>
      <x:c r="S55" s="64" t="n">
        <x:v>4</x:v>
      </x:c>
      <x:c r="T55" s="64" t="n">
        <x:f>ROUND(N55*0.30+O55*0.20+P55*0.15+Q55*0.15+R55*0.10+S55*0.10,2)</x:f>
        <x:v>3.15</x:v>
      </x:c>
      <x:c r="U55" s="60" t="str">
        <x:v>100% من جميع المواضع</x:v>
      </x:c>
      <x:c r="V55" s="60" t="str">
        <x:v>14:27؛ 8:11؛ 17:74؛ 16:102</x:v>
      </x:c>
      <x:c r="W55" s="60" t="str">
        <x:v>كتب، ربط، قرار</x:v>
      </x:c>
      <x:c r="X55" s="60" t="str">
        <x:v>Blind Discovery → Falsification → Lexical Differentiation → LOCK</x:v>
      </x:c>
      <x:c r="Y55" s="60" t="str">
        <x:v>https://corpus.quran.com/qurandictionary.jsp?q=vbt</x:v>
      </x:c>
    </x:row>
    <x:row r="56">
      <x:c r="A56" s="60" t="n">
        <x:v>50</x:v>
      </x:c>
      <x:c r="B56" s="60" t="str">
        <x:v>P3 — جذور تفريق واختبار</x:v>
      </x:c>
      <x:c r="C56" s="60" t="str">
        <x:v>س ط ر</x:v>
      </x:c>
      <x:c r="D56" s="60" t="str">
        <x:v>السطر/التسطير</x:v>
      </x:c>
      <x:c r="E56" s="60" t="str">
        <x:v>NOT_STARTED</x:v>
      </x:c>
      <x:c r="F56" s="62" t="n">
        <x:v>16</x:v>
      </x:c>
      <x:c r="G56" s="62" t="n">
        <x:v>14</x:v>
      </x:c>
      <x:c r="H56" s="62" t="n">
        <x:v>5</x:v>
      </x:c>
      <x:c r="I56" s="62" t="n">
        <x:v>7</x:v>
      </x:c>
      <x:c r="J56" s="62" t="n">
        <x:v>2</x:v>
      </x:c>
      <x:c r="K56" s="62" t="n">
        <x:v>3</x:v>
      </x:c>
      <x:c r="L56" s="60" t="str">
        <x:v>1، 2، 8</x:v>
      </x:c>
      <x:c r="M56" s="60" t="str">
        <x:v>مرتفع</x:v>
      </x:c>
      <x:c r="N56" s="64" t="n">
        <x:v>3</x:v>
      </x:c>
      <x:c r="O56" s="64" t="n">
        <x:v>1</x:v>
      </x:c>
      <x:c r="P56" s="64" t="n">
        <x:v>4</x:v>
      </x:c>
      <x:c r="Q56" s="64" t="n">
        <x:v>5</x:v>
      </x:c>
      <x:c r="R56" s="64" t="n">
        <x:v>3</x:v>
      </x:c>
      <x:c r="S56" s="64" t="n">
        <x:v>4</x:v>
      </x:c>
      <x:c r="T56" s="64" t="n">
        <x:f>ROUND(N56*0.30+O56*0.20+P56*0.15+Q56*0.15+R56*0.10+S56*0.10,2)</x:f>
        <x:v>3.15</x:v>
      </x:c>
      <x:c r="U56" s="60" t="str">
        <x:v>100% من جميع المواضع</x:v>
      </x:c>
      <x:c r="V56" s="60" t="str">
        <x:v>52:2؛ 68:1؛ 54:53؛ 17:58</x:v>
      </x:c>
      <x:c r="W56" s="60" t="str">
        <x:v>كتب، خطط، رقم</x:v>
      </x:c>
      <x:c r="X56" s="60" t="str">
        <x:v>Blind Discovery → Falsification → Lexical Differentiation → LOCK</x:v>
      </x:c>
      <x:c r="Y56" s="60" t="str">
        <x:v>https://corpus.quran.com/qurandictionary.jsp?q=sTr</x:v>
      </x:c>
    </x:row>
    <x:row r="57">
      <x:c r="A57" s="60" t="n">
        <x:v>51</x:v>
      </x:c>
      <x:c r="B57" s="60" t="str">
        <x:v>P3 — جذور تفريق واختبار</x:v>
      </x:c>
      <x:c r="C57" s="60" t="str">
        <x:v>ف ر ض</x:v>
      </x:c>
      <x:c r="D57" s="60" t="str">
        <x:v>الفرض/التحديد</x:v>
      </x:c>
      <x:c r="E57" s="60" t="str">
        <x:v>NOT_STARTED</x:v>
      </x:c>
      <x:c r="F57" s="62" t="n">
        <x:v>18</x:v>
      </x:c>
      <x:c r="G57" s="62" t="n">
        <x:v>7</x:v>
      </x:c>
      <x:c r="H57" s="62" t="n">
        <x:v>4</x:v>
      </x:c>
      <x:c r="I57" s="62" t="n">
        <x:v>9</x:v>
      </x:c>
      <x:c r="J57" s="62" t="n">
        <x:v>2</x:v>
      </x:c>
      <x:c r="K57" s="62" t="n">
        <x:v>1</x:v>
      </x:c>
      <x:c r="L57" s="60" t="str">
        <x:v>1</x:v>
      </x:c>
      <x:c r="M57" s="60" t="str">
        <x:v>متوسط</x:v>
      </x:c>
      <x:c r="N57" s="64" t="n">
        <x:v>3</x:v>
      </x:c>
      <x:c r="O57" s="64" t="n">
        <x:v>1</x:v>
      </x:c>
      <x:c r="P57" s="64" t="n">
        <x:v>3</x:v>
      </x:c>
      <x:c r="Q57" s="64" t="n">
        <x:v>5</x:v>
      </x:c>
      <x:c r="R57" s="64" t="n">
        <x:v>3</x:v>
      </x:c>
      <x:c r="S57" s="64" t="n">
        <x:v>4</x:v>
      </x:c>
      <x:c r="T57" s="64" t="n">
        <x:f>ROUND(N57*0.30+O57*0.20+P57*0.15+Q57*0.15+R57*0.10+S57*0.10,2)</x:f>
        <x:v>3</x:v>
      </x:c>
      <x:c r="U57" s="60" t="str">
        <x:v>100% من جميع المواضع</x:v>
      </x:c>
      <x:c r="V57" s="60" t="str">
        <x:v>28:85؛ 66:2؛ 2:237؛ 24:1</x:v>
      </x:c>
      <x:c r="W57" s="60" t="str">
        <x:v>كتب، أمر، حكم، قدر</x:v>
      </x:c>
      <x:c r="X57" s="60" t="str">
        <x:v>Blind Discovery → Falsification → Lexical Differentiation → LOCK</x:v>
      </x:c>
      <x:c r="Y57" s="60" t="str">
        <x:v>https://corpus.quran.com/qurandictionary.jsp?q=frD</x:v>
      </x:c>
    </x:row>
    <x:row r="58">
      <x:c r="A58" s="60" t="n">
        <x:v>52</x:v>
      </x:c>
      <x:c r="B58" s="60" t="str">
        <x:v>P3 — جذور تفريق واختبار</x:v>
      </x:c>
      <x:c r="C58" s="60" t="str">
        <x:v>و ص ل</x:v>
      </x:c>
      <x:c r="D58" s="60" t="str">
        <x:v>الوصل</x:v>
      </x:c>
      <x:c r="E58" s="60" t="str">
        <x:v>NOT_STARTED</x:v>
      </x:c>
      <x:c r="F58" s="62" t="n">
        <x:v>12</x:v>
      </x:c>
      <x:c r="G58" s="62" t="n">
        <x:v>7</x:v>
      </x:c>
      <x:c r="H58" s="62" t="n">
        <x:v>3</x:v>
      </x:c>
      <x:c r="I58" s="62" t="n">
        <x:v>7</x:v>
      </x:c>
      <x:c r="J58" s="62" t="n">
        <x:v>2</x:v>
      </x:c>
      <x:c r="K58" s="62" t="n">
        <x:v>2</x:v>
      </x:c>
      <x:c r="L58" s="60" t="str">
        <x:v>1، 2</x:v>
      </x:c>
      <x:c r="M58" s="60" t="str">
        <x:v>متوسط</x:v>
      </x:c>
      <x:c r="N58" s="64" t="n">
        <x:v>3</x:v>
      </x:c>
      <x:c r="O58" s="64" t="n">
        <x:v>1</x:v>
      </x:c>
      <x:c r="P58" s="64" t="n">
        <x:v>3</x:v>
      </x:c>
      <x:c r="Q58" s="64" t="n">
        <x:v>5</x:v>
      </x:c>
      <x:c r="R58" s="64" t="n">
        <x:v>3</x:v>
      </x:c>
      <x:c r="S58" s="64" t="n">
        <x:v>4</x:v>
      </x:c>
      <x:c r="T58" s="64" t="n">
        <x:f>ROUND(N58*0.30+O58*0.20+P58*0.15+Q58*0.15+R58*0.10+S58*0.10,2)</x:f>
        <x:v>3</x:v>
      </x:c>
      <x:c r="U58" s="60" t="str">
        <x:v>100% من جميع المواضع</x:v>
      </x:c>
      <x:c r="V58" s="60" t="str">
        <x:v>2:27؛ 13:21؛ 28:51؛ 4:90</x:v>
      </x:c>
      <x:c r="W58" s="60" t="str">
        <x:v>قطع، جمع، ربط</x:v>
      </x:c>
      <x:c r="X58" s="60" t="str">
        <x:v>Blind Discovery → Falsification → Lexical Differentiation → LOCK</x:v>
      </x:c>
      <x:c r="Y58" s="60" t="str">
        <x:v>https://corpus.quran.com/qurandictionary.jsp?q=wSl</x:v>
      </x:c>
    </x:row>
    <x:row r="59">
      <x:c r="A59" s="60" t="n">
        <x:v>53</x:v>
      </x:c>
      <x:c r="B59" s="60" t="str">
        <x:v>P3 — جذور تفريق واختبار</x:v>
      </x:c>
      <x:c r="C59" s="60" t="str">
        <x:v>ع ق د</x:v>
      </x:c>
      <x:c r="D59" s="60" t="str">
        <x:v>العقد/العقدة</x:v>
      </x:c>
      <x:c r="E59" s="60" t="str">
        <x:v>NOT_STARTED</x:v>
      </x:c>
      <x:c r="F59" s="62" t="n">
        <x:v>7</x:v>
      </x:c>
      <x:c r="G59" s="62" t="n">
        <x:v>5</x:v>
      </x:c>
      <x:c r="H59" s="62" t="n">
        <x:v>4</x:v>
      </x:c>
      <x:c r="I59" s="62" t="n">
        <x:v>7</x:v>
      </x:c>
      <x:c r="J59" s="62" t="n">
        <x:v>2</x:v>
      </x:c>
      <x:c r="K59" s="62" t="n">
        <x:v>2</x:v>
      </x:c>
      <x:c r="L59" s="60" t="str">
        <x:v>1، 2</x:v>
      </x:c>
      <x:c r="M59" s="60" t="str">
        <x:v>متوسط</x:v>
      </x:c>
      <x:c r="N59" s="64" t="n">
        <x:v>3</x:v>
      </x:c>
      <x:c r="O59" s="64" t="n">
        <x:v>1</x:v>
      </x:c>
      <x:c r="P59" s="64" t="n">
        <x:v>3</x:v>
      </x:c>
      <x:c r="Q59" s="64" t="n">
        <x:v>5</x:v>
      </x:c>
      <x:c r="R59" s="64" t="n">
        <x:v>3</x:v>
      </x:c>
      <x:c r="S59" s="64" t="n">
        <x:v>4</x:v>
      </x:c>
      <x:c r="T59" s="64" t="n">
        <x:f>ROUND(N59*0.30+O59*0.20+P59*0.15+Q59*0.15+R59*0.10+S59*0.10,2)</x:f>
        <x:v>3</x:v>
      </x:c>
      <x:c r="U59" s="60" t="str">
        <x:v>100% من جميع المواضع</x:v>
      </x:c>
      <x:c r="V59" s="60" t="str">
        <x:v>5:1؛ 2:235؛ 113:4؛ 20:27</x:v>
      </x:c>
      <x:c r="W59" s="60" t="str">
        <x:v>ربط، كتب، وصل</x:v>
      </x:c>
      <x:c r="X59" s="60" t="str">
        <x:v>Blind Discovery → Falsification → Lexical Differentiation → LOCK</x:v>
      </x:c>
      <x:c r="Y59" s="60" t="str">
        <x:v>https://corpus.quran.com/qurandictionary.jsp?q=Eqd</x:v>
      </x:c>
    </x:row>
    <x:row r="60">
      <x:c r="A60" s="60" t="n">
        <x:v>54</x:v>
      </x:c>
      <x:c r="B60" s="60" t="str">
        <x:v>P3 — جذور تفريق واختبار</x:v>
      </x:c>
      <x:c r="C60" s="60" t="str">
        <x:v>ر ب ط</x:v>
      </x:c>
      <x:c r="D60" s="60" t="str">
        <x:v>الربط</x:v>
      </x:c>
      <x:c r="E60" s="60" t="str">
        <x:v>NOT_STARTED</x:v>
      </x:c>
      <x:c r="F60" s="62" t="n">
        <x:v>5</x:v>
      </x:c>
      <x:c r="G60" s="62" t="n">
        <x:v>4</x:v>
      </x:c>
      <x:c r="H60" s="62" t="n">
        <x:v>3</x:v>
      </x:c>
      <x:c r="I60" s="62" t="n">
        <x:v>5</x:v>
      </x:c>
      <x:c r="J60" s="62" t="n">
        <x:v>2</x:v>
      </x:c>
      <x:c r="K60" s="62" t="n">
        <x:v>2</x:v>
      </x:c>
      <x:c r="L60" s="60" t="str">
        <x:v>1، 3</x:v>
      </x:c>
      <x:c r="M60" s="60" t="str">
        <x:v>متوسط</x:v>
      </x:c>
      <x:c r="N60" s="64" t="n">
        <x:v>3</x:v>
      </x:c>
      <x:c r="O60" s="64" t="n">
        <x:v>1</x:v>
      </x:c>
      <x:c r="P60" s="64" t="n">
        <x:v>3</x:v>
      </x:c>
      <x:c r="Q60" s="64" t="n">
        <x:v>5</x:v>
      </x:c>
      <x:c r="R60" s="64" t="n">
        <x:v>3</x:v>
      </x:c>
      <x:c r="S60" s="64" t="n">
        <x:v>4</x:v>
      </x:c>
      <x:c r="T60" s="64" t="n">
        <x:f>ROUND(N60*0.30+O60*0.20+P60*0.15+Q60*0.15+R60*0.10+S60*0.10,2)</x:f>
        <x:v>3</x:v>
      </x:c>
      <x:c r="U60" s="60" t="str">
        <x:v>100% من جميع المواضع</x:v>
      </x:c>
      <x:c r="V60" s="60" t="str">
        <x:v>18:14؛ 8:11؛ 28:10؛ 3:200</x:v>
      </x:c>
      <x:c r="W60" s="60" t="str">
        <x:v>عقد، وصل، ألف، جمع</x:v>
      </x:c>
      <x:c r="X60" s="60" t="str">
        <x:v>Blind Discovery → Falsification → Lexical Differentiation → LOCK</x:v>
      </x:c>
      <x:c r="Y60" s="60" t="str">
        <x:v>https://corpus.quran.com/qurandictionary.jsp?q=rbT</x:v>
      </x:c>
    </x:row>
    <x:row r="61">
      <x:c r="A61" s="60" t="n">
        <x:v>55</x:v>
      </x:c>
      <x:c r="B61" s="60" t="str">
        <x:v>P3 — جذور تفريق واختبار</x:v>
      </x:c>
      <x:c r="C61" s="60" t="str">
        <x:v>ر ق م</x:v>
      </x:c>
      <x:c r="D61" s="60" t="str">
        <x:v>الترقيم</x:v>
      </x:c>
      <x:c r="E61" s="60" t="str">
        <x:v>NOT_STARTED</x:v>
      </x:c>
      <x:c r="F61" s="62" t="n">
        <x:v>3</x:v>
      </x:c>
      <x:c r="G61" s="62" t="n">
        <x:v>2</x:v>
      </x:c>
      <x:c r="H61" s="62" t="n">
        <x:v>2</x:v>
      </x:c>
      <x:c r="I61" s="62" t="n">
        <x:v>2</x:v>
      </x:c>
      <x:c r="J61" s="62" t="n">
        <x:v>1</x:v>
      </x:c>
      <x:c r="K61" s="62" t="n">
        <x:v>1</x:v>
      </x:c>
      <x:c r="L61" s="60" t="str">
        <x:v>1</x:v>
      </x:c>
      <x:c r="M61" s="60" t="str">
        <x:v>محدود</x:v>
      </x:c>
      <x:c r="N61" s="64" t="n">
        <x:v>3</x:v>
      </x:c>
      <x:c r="O61" s="64" t="n">
        <x:v>1</x:v>
      </x:c>
      <x:c r="P61" s="64" t="n">
        <x:v>2</x:v>
      </x:c>
      <x:c r="Q61" s="64" t="n">
        <x:v>5</x:v>
      </x:c>
      <x:c r="R61" s="64" t="n">
        <x:v>3</x:v>
      </x:c>
      <x:c r="S61" s="64" t="n">
        <x:v>4</x:v>
      </x:c>
      <x:c r="T61" s="64" t="n">
        <x:f>ROUND(N61*0.30+O61*0.20+P61*0.15+Q61*0.15+R61*0.10+S61*0.10,2)</x:f>
        <x:v>2.85</x:v>
      </x:c>
      <x:c r="U61" s="60" t="str">
        <x:v>100% من جميع المواضع</x:v>
      </x:c>
      <x:c r="V61" s="60" t="str">
        <x:v>83:9؛ 83:20؛ 18:9</x:v>
      </x:c>
      <x:c r="W61" s="60" t="str">
        <x:v>كتب، سطر، خطط</x:v>
      </x:c>
      <x:c r="X61" s="60" t="str">
        <x:v>Blind Discovery → Falsification → Lexical Differentiation → LOCK</x:v>
      </x:c>
      <x:c r="Y61" s="60" t="str">
        <x:v>https://corpus.quran.com/qurandictionary.jsp?q=rqm</x:v>
      </x:c>
    </x:row>
    <x:row r="62">
      <x:c r="A62" s="60" t="n">
        <x:v>56</x:v>
      </x:c>
      <x:c r="B62" s="60" t="str">
        <x:v>P3 — جذور تفريق واختبار</x:v>
      </x:c>
      <x:c r="C62" s="60" t="str">
        <x:v>ض م م</x:v>
      </x:c>
      <x:c r="D62" s="60" t="str">
        <x:v>الضم</x:v>
      </x:c>
      <x:c r="E62" s="60" t="str">
        <x:v>NOT_STARTED</x:v>
      </x:c>
      <x:c r="F62" s="62" t="n">
        <x:v>2</x:v>
      </x:c>
      <x:c r="G62" s="62" t="n">
        <x:v>2</x:v>
      </x:c>
      <x:c r="H62" s="62" t="n">
        <x:v>1</x:v>
      </x:c>
      <x:c r="I62" s="62" t="n">
        <x:v>1</x:v>
      </x:c>
      <x:c r="J62" s="62" t="n">
        <x:v>1</x:v>
      </x:c>
      <x:c r="K62" s="62" t="n">
        <x:v>1</x:v>
      </x:c>
      <x:c r="L62" s="60" t="str">
        <x:v>1</x:v>
      </x:c>
      <x:c r="M62" s="60" t="str">
        <x:v>منخفض</x:v>
      </x:c>
      <x:c r="N62" s="64" t="n">
        <x:v>3</x:v>
      </x:c>
      <x:c r="O62" s="64" t="n">
        <x:v>1</x:v>
      </x:c>
      <x:c r="P62" s="64" t="n">
        <x:v>1</x:v>
      </x:c>
      <x:c r="Q62" s="64" t="n">
        <x:v>5</x:v>
      </x:c>
      <x:c r="R62" s="64" t="n">
        <x:v>3</x:v>
      </x:c>
      <x:c r="S62" s="64" t="n">
        <x:v>4</x:v>
      </x:c>
      <x:c r="T62" s="64" t="n">
        <x:f>ROUND(N62*0.30+O62*0.20+P62*0.15+Q62*0.15+R62*0.10+S62*0.10,2)</x:f>
        <x:v>2.7</x:v>
      </x:c>
      <x:c r="U62" s="60" t="str">
        <x:v>100% من جميع المواضع</x:v>
      </x:c>
      <x:c r="V62" s="60" t="str">
        <x:v>20:22؛ 28:32</x:v>
      </x:c>
      <x:c r="W62" s="60" t="str">
        <x:v>جمع، قرب، ربط</x:v>
      </x:c>
      <x:c r="X62" s="60" t="str">
        <x:v>Blind Discovery → Falsification → Lexical Differentiation → LOCK</x:v>
      </x:c>
      <x:c r="Y62" s="60" t="str">
        <x:v>https://corpus.quran.com/qurandictionary.jsp?q=Dmm</x:v>
      </x:c>
    </x:row>
    <x:row r="63">
      <x:c r="A63" s="60" t="n">
        <x:v>57</x:v>
      </x:c>
      <x:c r="B63" s="60" t="str">
        <x:v>P3 — جذور تفريق واختبار</x:v>
      </x:c>
      <x:c r="C63" s="60" t="str">
        <x:v>خ ط ط</x:v>
      </x:c>
      <x:c r="D63" s="60" t="str">
        <x:v>الخط المادي</x:v>
      </x:c>
      <x:c r="E63" s="60" t="str">
        <x:v>NOT_STARTED</x:v>
      </x:c>
      <x:c r="F63" s="62" t="n">
        <x:v>1</x:v>
      </x:c>
      <x:c r="G63" s="62" t="n">
        <x:v>1</x:v>
      </x:c>
      <x:c r="H63" s="62" t="n">
        <x:v>1</x:v>
      </x:c>
      <x:c r="I63" s="62" t="n">
        <x:v>1</x:v>
      </x:c>
      <x:c r="J63" s="62" t="n">
        <x:v>1</x:v>
      </x:c>
      <x:c r="K63" s="62" t="n">
        <x:v>1</x:v>
      </x:c>
      <x:c r="L63" s="60" t="str">
        <x:v>1</x:v>
      </x:c>
      <x:c r="M63" s="60" t="str">
        <x:v>منخفض</x:v>
      </x:c>
      <x:c r="N63" s="64" t="n">
        <x:v>3</x:v>
      </x:c>
      <x:c r="O63" s="64" t="n">
        <x:v>1</x:v>
      </x:c>
      <x:c r="P63" s="64" t="n">
        <x:v>1</x:v>
      </x:c>
      <x:c r="Q63" s="64" t="n">
        <x:v>5</x:v>
      </x:c>
      <x:c r="R63" s="64" t="n">
        <x:v>3</x:v>
      </x:c>
      <x:c r="S63" s="64" t="n">
        <x:v>4</x:v>
      </x:c>
      <x:c r="T63" s="64" t="n">
        <x:f>ROUND(N63*0.30+O63*0.20+P63*0.15+Q63*0.15+R63*0.10+S63*0.10,2)</x:f>
        <x:v>2.7</x:v>
      </x:c>
      <x:c r="U63" s="60" t="str">
        <x:v>100% من جميع المواضع</x:v>
      </x:c>
      <x:c r="V63" s="60" t="str">
        <x:v>29:48</x:v>
      </x:c>
      <x:c r="W63" s="60" t="str">
        <x:v>كتب، سطر، رقم</x:v>
      </x:c>
      <x:c r="X63" s="60" t="str">
        <x:v>Blind Discovery → Falsification → Lexical Differentiation → LOCK</x:v>
      </x:c>
      <x:c r="Y63" s="60" t="str">
        <x:v>https://corpus.quran.com/qurandictionary.jsp?q=xTT</x:v>
      </x:c>
    </x:row>
  </x:sheetData>
  <x:mergeCells>
    <x:mergeCell ref="A1:Y2"/>
    <x:mergeCell ref="A3:Y4"/>
  </x:mergeCells>
  <x:conditionalFormatting sqref="F7:F63">
    <x:cfRule type="dataBar" priority="1">
      <x:dataBar>
        <x:cfvo type="min"/>
        <x:cfvo type="max"/>
        <x:color rgb="FF2E7D8F"/>
      </x:dataBar>
      <x:extLst>
        <x:ext xmlns:x14="http://schemas.microsoft.com/office/spreadsheetml/2009/9/main" uri="{B025F937-C7B1-47D3-B67F-A62EFF666E3E}">
          <x14:id>{4BA6F804-5320-2526-A3E0-E799E00BF244}</x14:id>
        </x:ext>
      </x:extLst>
    </x:cfRule>
  </x:conditionalFormatting>
  <x:conditionalFormatting sqref="T7:T63">
    <x:cfRule type="colorScale" priority="2">
      <x:colorScale>
        <x:cfvo type="min"/>
        <x:cfvo type="percentile" val="50"/>
        <x:cfvo type="max"/>
        <x:color rgb="FFF6D5D5"/>
        <x:color rgb="FFFFF1C1"/>
        <x:color rgb="FFD9F0DF"/>
      </x:colorScale>
    </x:cfRule>
  </x:conditionalFormatting>
  <x:conditionalFormatting sqref="E7:E63">
    <x:cfRule type="expression" dxfId="0" priority="3">
      <x:formula>ISNUMBER(SEARCH("AGREED",E7))</x:formula>
    </x:cfRule>
    <x:cfRule type="expression" dxfId="1" priority="4">
      <x:formula>E7="NOT_STARTED"</x:formula>
    </x:cfRule>
  </x:conditionalFormatting>
  <x:pageMargins left="0.7" right="0.7" top="0.75" bottom="0.75" header="0.3" footer="0.3"/>
  <x:tableParts count="1">
    <x:tablePart xmlns:r="http://schemas.openxmlformats.org/officeDocument/2006/relationships" r:id="R10fa1534ec2a4b9a"/>
  </x:tableParts>
  <x:extLst>
    <x:ext xmlns:x14="http://schemas.microsoft.com/office/spreadsheetml/2009/9/main" xmlns:xm="http://schemas.microsoft.com/office/excel/2006/main" uri="{78C0D931-6437-407d-A8EE-F0AAD7539E65}">
      <x14:conditionalFormattings>
        <x14:conditionalFormatting>
          <x14:cfRule type="dataBar" priority="1" id="{4BA6F804-5320-2526-A3E0-E799E00BF244}">
            <x14:dataBar gradient="1">
              <x14:cfvo type="min"/>
              <x14:cfvo type="max"/>
              <x14:fillColor rgb="FF2E7D8F"/>
            </x14:dataBar>
          </x14:cfRule>
          <xm:sqref>F7:F63</xm:sqref>
        </x14:conditionalFormatting>
      </x14:conditionalFormattings>
    </x:ext>
  </x:extLst>
</x:worksheet>
</file>

<file path=xl/worksheets/sheet3.xml><?xml version="1.0" encoding="utf-8"?>
<x:worksheet xmlns:x="http://schemas.openxmlformats.org/spreadsheetml/2006/main">
  <x:sheetFormatPr defaultRowHeight="15"/>
  <x:cols>
    <x:col min="1" max="1" width="9" hidden="0" customWidth="1"/>
    <x:col min="2" max="2" width="18" hidden="0" customWidth="1"/>
    <x:col min="3" max="3" width="27" hidden="0" customWidth="1"/>
    <x:col min="4" max="4" width="50" hidden="0" customWidth="1"/>
    <x:col min="5" max="5" width="45" hidden="0" customWidth="1"/>
    <x:col min="6" max="6" width="52" hidden="0" customWidth="1"/>
    <x:col min="7" max="7" width="45" hidden="0" customWidth="1"/>
    <x:col min="8" max="8" width="42" hidden="0" customWidth="1"/>
    <x:col min="9" max="9" width="28" hidden="0" customWidth="1"/>
    <x:col min="10" max="10" width="35" hidden="0" customWidth="1"/>
    <x:col min="11" max="11" width="30" hidden="0" customWidth="1"/>
    <x:col min="12" max="12" width="45" hidden="0" customWidth="1"/>
    <x:col min="13" max="13" width="32" hidden="0" customWidth="1"/>
    <x:col min="14" max="14" width="42" hidden="0" customWidth="1"/>
  </x:cols>
  <x:sheetData>
    <x:row r="1">
      <x:c r="A1" s="6" t="str">
        <x:v>بطاقات التعريف والحدود الدلالية</x:v>
      </x:c>
      <x:c r="B1" s="6"/>
      <x:c r="C1" s="6"/>
      <x:c r="D1" s="6"/>
      <x:c r="E1" s="6"/>
      <x:c r="F1" s="6"/>
      <x:c r="G1" s="6"/>
      <x:c r="H1" s="6"/>
      <x:c r="I1" s="6"/>
      <x:c r="J1" s="6"/>
      <x:c r="K1" s="6"/>
      <x:c r="L1" s="6"/>
      <x:c r="M1" s="6"/>
      <x:c r="N1" s="6"/>
    </x:row>
    <x:row r="2">
      <x:c r="A2" s="6"/>
      <x:c r="B2" s="6"/>
      <x:c r="C2" s="6"/>
      <x:c r="D2" s="6"/>
      <x:c r="E2" s="6"/>
      <x:c r="F2" s="6"/>
      <x:c r="G2" s="6"/>
      <x:c r="H2" s="6"/>
      <x:c r="I2" s="6"/>
      <x:c r="J2" s="6"/>
      <x:c r="K2" s="6"/>
      <x:c r="L2" s="6"/>
      <x:c r="M2" s="6"/>
      <x:c r="N2" s="6"/>
    </x:row>
    <x:row r="3">
      <x:c r="A3" s="16" t="str">
        <x:v>لا تُعامل الخانات غير المعبأة كقصور في الملف؛ إبقاؤها UNKNOWN مقصود لحماية التحليل من prior contamination. لا يُعتمد أي تعريف جديد إلا بعد Blind Discovery وFalsification وLexical Differentiation ثم LOCK_INTERNAL_RESULT.</x:v>
      </x:c>
      <x:c r="B3" s="16"/>
      <x:c r="C3" s="16"/>
      <x:c r="D3" s="16"/>
      <x:c r="E3" s="16"/>
      <x:c r="F3" s="16"/>
      <x:c r="G3" s="16"/>
      <x:c r="H3" s="16"/>
      <x:c r="I3" s="16"/>
      <x:c r="J3" s="16"/>
      <x:c r="K3" s="16"/>
      <x:c r="L3" s="16"/>
      <x:c r="M3" s="16"/>
      <x:c r="N3" s="16"/>
    </x:row>
    <x:row r="4">
      <x:c r="A4" s="16"/>
      <x:c r="B4" s="16"/>
      <x:c r="C4" s="16"/>
      <x:c r="D4" s="16"/>
      <x:c r="E4" s="16"/>
      <x:c r="F4" s="16"/>
      <x:c r="G4" s="16"/>
      <x:c r="H4" s="16"/>
      <x:c r="I4" s="16"/>
      <x:c r="J4" s="16"/>
      <x:c r="K4" s="16"/>
      <x:c r="L4" s="16"/>
      <x:c r="M4" s="16"/>
      <x:c r="N4" s="16"/>
    </x:row>
    <x:row r="6">
      <x:c r="A6" s="26" t="str">
        <x:v>الترتيب</x:v>
      </x:c>
      <x:c r="B6" s="26" t="str">
        <x:v>الجذر</x:v>
      </x:c>
      <x:c r="C6" s="26" t="str">
        <x:v>الحالة</x:v>
      </x:c>
      <x:c r="D6" s="26" t="str">
        <x:v>Root Core الحالي</x:v>
      </x:c>
      <x:c r="E6" s="26" t="str">
        <x:v>REQUIRED</x:v>
      </x:c>
      <x:c r="F6" s="26" t="str">
        <x:v>PERMITTED / التطبيقات</x:v>
      </x:c>
      <x:c r="G6" s="26" t="str">
        <x:v>EXCLUDED</x:v>
      </x:c>
      <x:c r="H6" s="26" t="str">
        <x:v>UNKNOWN</x:v>
      </x:c>
      <x:c r="I6" s="26" t="str">
        <x:v>السياقات الحاسمة</x:v>
      </x:c>
      <x:c r="J6" s="26" t="str">
        <x:v>الألفاظ القريبة</x:v>
      </x:c>
      <x:c r="K6" s="26" t="str">
        <x:v>الثقة/الرتبة</x:v>
      </x:c>
      <x:c r="L6" s="26" t="str">
        <x:v>الإجراء التالي</x:v>
      </x:c>
      <x:c r="M6" s="26" t="str">
        <x:v>التغطية المطلوبة</x:v>
      </x:c>
      <x:c r="N6" s="26" t="str">
        <x:v>المصدر</x:v>
      </x:c>
    </x:row>
    <x:row r="7">
      <x:c r="A7" s="69" t="n">
        <x:v>1</x:v>
      </x:c>
      <x:c r="B7" s="69" t="str">
        <x:v>ك ت ب</x:v>
      </x:c>
      <x:c r="C7" s="69" t="str">
        <x:v>AGREED_WORKING / PROVISIONAL</x:v>
      </x:c>
      <x:c r="D7" s="69" t="str">
        <x:v>ضمّ وربط عناصر أو أطراف أو مضامين ضمن وحدة واحدة ذات علاقات محددة ومقيدة لتكوين بنية واحدة محكومة؛ وقد تظهر الإلزامات أو العقود أو التدوين كتطبيقات موضعية</x:v>
      </x:c>
      <x:c r="E7" s="69" t="str">
        <x:v>ضم/جمع عناصر أو أطراف أو مضمون داخل وحدة واحدة؛ ربطها بعلاقات محددة؛ تكوين بنية/نظام مترابط أو مقيد</x:v>
      </x:c>
      <x:c r="F7" s="69" t="str">
        <x:v>التدوين المادي؛ الإلزام في كتب على؛ التخصيص؛ العقد/المكاتبة؛ التسجيل والحفظ المنظم
التطبيقات الموضعية: كتب على: إلزام/تقييد بحسب السياق؛ الكتابة باليد: تحقق مادي؛ فاكتبنا مع الشاهدين: إدخال في نسبة/وحدة؛ كاتب: مشاركة تعاقدية</x:v>
      </x:c>
      <x:c r="G7" s="69" t="str">
        <x:v>الخط بالقلم وحده؛ الإلزام على الغير وحده؛ الجمع وحده كتطابق؛ التثبيت وحده؛ الصدق/المشروعية كخاصية لازمة</x:v>
      </x:c>
      <x:c r="H7" s="69" t="str">
        <x:v>هل الإلزام/التقييد لازم في النواة أم أثر تركيبي منتظم؟ التفريد عن جمع/ضم/ثبت/خط/سطر/رقم وغيرها</x:v>
      </x:c>
      <x:c r="I7" s="69" t="str">
        <x:v>6:12؛ 3:53؛ 2:183؛ 2:79؛ 58:22</x:v>
      </x:c>
      <x:c r="J7" s="69" t="str">
        <x:v>جمع، فرض، ثبت، خطط، سطر، رقم، ربط، عقد، ألف</x:v>
      </x:c>
      <x:c r="K7" s="69" t="str">
        <x:v>AGREED_WORKING / PROVISIONAL؛ الأدلة السلبية أقوى من الحسم الإيجابي النهائي</x:v>
      </x:c>
      <x:c r="L7" s="69" t="str">
        <x:v>توسعة Corpus + مقارنة جمع/ضم/ثبت/خط/سطر/رقم/فرض/عقد/ربط</x:v>
      </x:c>
      <x:c r="M7" s="69" t="str">
        <x:v>≥10 مواضع خصومية متنوعة ثم توسعة مرحلية</x:v>
      </x:c>
      <x:c r="N7" s="69" t="str">
        <x:v>https://corpus.quran.com/qurandictionary.jsp?q=ktb</x:v>
      </x:c>
    </x:row>
    <x:row r="8">
      <x:c r="A8" s="73" t="n">
        <x:v>2</x:v>
      </x:c>
      <x:c r="B8" s="73" t="str">
        <x:v>ن ش ز</x:v>
      </x:c>
      <x:c r="C8" s="73" t="str">
        <x:v>AGREED / REGRESSION_BACKED</x:v>
      </x:c>
      <x:c r="D8" s="73" t="str">
        <x:v>حزمة دلالية تتمحور حول الالتصاق والاشتباك والتقارب الشديد بين أطراف أو أجزاء</x:v>
      </x:c>
      <x:c r="E8" s="73" t="str">
        <x:v>علاقة بين أطراف/أجزاء؛ تقارب شديد يصل إلى تماس/التصاق/اشتباك؛ ثبات النواة في العظام والمجلس والزوجية</x:v>
      </x:c>
      <x:c r="F8" s="73" t="str">
        <x:v>التحام/اشتباك أجزاء ماديًا؛ تضام مكاني؛ اشتباك/احتكاك علائقي أو شعوري
التطبيقات الموضعية: العظام: التحام/اشتباك الأجزاء؛ المجلس: تضام/تقارب شديد؛ الزوجية: اشتباك علائقي/شعوري وقد يكون ماديًا</x:v>
      </x:c>
      <x:c r="G8" s="73" t="str">
        <x:v>العصيان وحده؛ الارتفاع/العلو وحده؛ الإعراض/الابتعاد كتطابق؛ تعريف خاص بالمرأة أو بالزوجية</x:v>
      </x:c>
      <x:c r="H8" s="73" t="str">
        <x:v>التفريد النهائي عن ألفاظ القرب والضم والتماس؛ الصياغة العربية الأقصر المميزة</x:v>
      </x:c>
      <x:c r="I8" s="73" t="str">
        <x:v>2:259؛ 58:11؛ 4:34؛ 4:128</x:v>
      </x:c>
      <x:c r="J8" s="73" t="str">
        <x:v>عرض (إعراض)، قرب، ضمم، جمع، ربط، ألف</x:v>
      </x:c>
      <x:c r="K8" s="73" t="str">
        <x:v>AGREED / Regression-backed؛ التفريد المعجمي ما زال مفتوحًا</x:v>
      </x:c>
      <x:c r="L8" s="73" t="str">
        <x:v>Nearest-Lexeme Differentiation + Semantic Residue + Counterfactual Substitution</x:v>
      </x:c>
      <x:c r="M8" s="73" t="str">
        <x:v>100% من جميع المواضع</x:v>
      </x:c>
      <x:c r="N8" s="73" t="str">
        <x:v>https://corpus.quran.com/qurandictionary.jsp?q=n%24z</x:v>
      </x:c>
    </x:row>
    <x:row r="9">
      <x:c r="A9" s="77" t="n">
        <x:v>3</x:v>
      </x:c>
      <x:c r="B9" s="77" t="str">
        <x:v>أ م ن</x:v>
      </x:c>
      <x:c r="C9" s="77" t="str">
        <x:v>NOT_STARTED</x:v>
      </x:c>
      <x:c r="D9" s="77" t="str">
        <x:v>غير محلل بعد — يبدأ من UNKNOWN</x:v>
      </x:c>
      <x:c r="E9" s="77" t="str">
        <x:v>لا يملأ قبل التحليل الأعمى</x:v>
      </x:c>
      <x:c r="F9" s="77" t="str">
        <x:v>لا يملأ قبل التحليل الأعمى
التطبيقات الموضعية: تُستخرج بعد فصل Root Core عن الصيغة والتركيب والسياق</x:v>
      </x:c>
      <x:c r="G9" s="77" t="str">
        <x:v>لا يملأ قبل دليل سلبي حاسم</x:v>
      </x:c>
      <x:c r="H9" s="77" t="str">
        <x:v>Root Core والحدود الدلالية كاملة</x:v>
      </x:c>
      <x:c r="I9" s="77" t="str">
        <x:v>2:3؛ 106:4؛ 4:83؛ 12:17</x:v>
      </x:c>
      <x:c r="J9" s="77" t="str">
        <x:v>صدق، سلم، كفر، خوف</x:v>
      </x:c>
      <x:c r="K9" s="77" t="str">
        <x:v>غير متاح</x:v>
      </x:c>
      <x:c r="L9" s="77" t="str">
        <x:v>Blind Discovery → Falsification → Lexical Differentiation → LOCK</x:v>
      </x:c>
      <x:c r="M9" s="77" t="str">
        <x:v>≥10 مواضع خصومية متنوعة ثم توسعة مرحلية</x:v>
      </x:c>
      <x:c r="N9" s="77" t="str">
        <x:v>https://corpus.quran.com/qurandictionary.jsp?q=Amn</x:v>
      </x:c>
    </x:row>
    <x:row r="10">
      <x:c r="A10" s="77" t="n">
        <x:v>4</x:v>
      </x:c>
      <x:c r="B10" s="77" t="str">
        <x:v>ك ف ر</x:v>
      </x:c>
      <x:c r="C10" s="77" t="str">
        <x:v>NOT_STARTED</x:v>
      </x:c>
      <x:c r="D10" s="77" t="str">
        <x:v>غير محلل بعد — يبدأ من UNKNOWN</x:v>
      </x:c>
      <x:c r="E10" s="77" t="str">
        <x:v>لا يملأ قبل التحليل الأعمى</x:v>
      </x:c>
      <x:c r="F10" s="77" t="str">
        <x:v>لا يملأ قبل التحليل الأعمى
التطبيقات الموضعية: تُستخرج بعد فصل Root Core عن الصيغة والتركيب والسياق</x:v>
      </x:c>
      <x:c r="G10" s="77" t="str">
        <x:v>لا يملأ قبل دليل سلبي حاسم</x:v>
      </x:c>
      <x:c r="H10" s="77" t="str">
        <x:v>Root Core والحدود الدلالية كاملة</x:v>
      </x:c>
      <x:c r="I10" s="77" t="str">
        <x:v>14:7؛ 31:12؛ 29:25؛ 2:257</x:v>
      </x:c>
      <x:c r="J10" s="77" t="str">
        <x:v>أمن، شكر، جحد، ستر</x:v>
      </x:c>
      <x:c r="K10" s="77" t="str">
        <x:v>غير متاح</x:v>
      </x:c>
      <x:c r="L10" s="77" t="str">
        <x:v>Blind Discovery → Falsification → Lexical Differentiation → LOCK</x:v>
      </x:c>
      <x:c r="M10" s="77" t="str">
        <x:v>≥10 مواضع خصومية متنوعة ثم توسعة مرحلية</x:v>
      </x:c>
      <x:c r="N10" s="77" t="str">
        <x:v>https://corpus.quran.com/qurandictionary.jsp?q=kfr</x:v>
      </x:c>
    </x:row>
    <x:row r="11">
      <x:c r="A11" s="77" t="n">
        <x:v>5</x:v>
      </x:c>
      <x:c r="B11" s="77" t="str">
        <x:v>ع ل م</x:v>
      </x:c>
      <x:c r="C11" s="77" t="str">
        <x:v>NOT_STARTED</x:v>
      </x:c>
      <x:c r="D11" s="77" t="str">
        <x:v>غير محلل بعد — يبدأ من UNKNOWN</x:v>
      </x:c>
      <x:c r="E11" s="77" t="str">
        <x:v>لا يملأ قبل التحليل الأعمى</x:v>
      </x:c>
      <x:c r="F11" s="77" t="str">
        <x:v>لا يملأ قبل التحليل الأعمى
التطبيقات الموضعية: تُستخرج بعد فصل Root Core عن الصيغة والتركيب والسياق</x:v>
      </x:c>
      <x:c r="G11" s="77" t="str">
        <x:v>لا يملأ قبل دليل سلبي حاسم</x:v>
      </x:c>
      <x:c r="H11" s="77" t="str">
        <x:v>Root Core والحدود الدلالية كاملة</x:v>
      </x:c>
      <x:c r="I11" s="77" t="str">
        <x:v>2:31؛ 96:4؛ 12:76؛ 4:166</x:v>
      </x:c>
      <x:c r="J11" s="77" t="str">
        <x:v>عرف، فقه، عقل، بين، رأي</x:v>
      </x:c>
      <x:c r="K11" s="77" t="str">
        <x:v>غير متاح</x:v>
      </x:c>
      <x:c r="L11" s="77" t="str">
        <x:v>Blind Discovery → Falsification → Lexical Differentiation → LOCK</x:v>
      </x:c>
      <x:c r="M11" s="77" t="str">
        <x:v>≥10 مواضع خصومية متنوعة ثم توسعة مرحلية</x:v>
      </x:c>
      <x:c r="N11" s="77" t="str">
        <x:v>https://corpus.quran.com/qurandictionary.jsp?q=Elm</x:v>
      </x:c>
    </x:row>
    <x:row r="12">
      <x:c r="A12" s="77" t="n">
        <x:v>6</x:v>
      </x:c>
      <x:c r="B12" s="77" t="str">
        <x:v>ب ي ن</x:v>
      </x:c>
      <x:c r="C12" s="77" t="str">
        <x:v>NOT_STARTED</x:v>
      </x:c>
      <x:c r="D12" s="77" t="str">
        <x:v>غير محلل بعد — يبدأ من UNKNOWN</x:v>
      </x:c>
      <x:c r="E12" s="77" t="str">
        <x:v>لا يملأ قبل التحليل الأعمى</x:v>
      </x:c>
      <x:c r="F12" s="77" t="str">
        <x:v>لا يملأ قبل التحليل الأعمى
التطبيقات الموضعية: تُستخرج بعد فصل Root Core عن الصيغة والتركيب والسياق</x:v>
      </x:c>
      <x:c r="G12" s="77" t="str">
        <x:v>لا يملأ قبل دليل سلبي حاسم</x:v>
      </x:c>
      <x:c r="H12" s="77" t="str">
        <x:v>Root Core والحدود الدلالية كاملة</x:v>
      </x:c>
      <x:c r="I12" s="77" t="str">
        <x:v>16:44؛ 55:4؛ 2:185؛ 3:138</x:v>
      </x:c>
      <x:c r="J12" s="77" t="str">
        <x:v>علم، فرق، حقق، شهد</x:v>
      </x:c>
      <x:c r="K12" s="77" t="str">
        <x:v>غير متاح</x:v>
      </x:c>
      <x:c r="L12" s="77" t="str">
        <x:v>Blind Discovery → Falsification → Lexical Differentiation → LOCK</x:v>
      </x:c>
      <x:c r="M12" s="77" t="str">
        <x:v>≥10 مواضع خصومية متنوعة ثم توسعة مرحلية</x:v>
      </x:c>
      <x:c r="N12" s="77" t="str">
        <x:v>https://corpus.quran.com/qurandictionary.jsp?q=byn</x:v>
      </x:c>
    </x:row>
    <x:row r="13">
      <x:c r="A13" s="77" t="n">
        <x:v>7</x:v>
      </x:c>
      <x:c r="B13" s="77" t="str">
        <x:v>ه د ي</x:v>
      </x:c>
      <x:c r="C13" s="77" t="str">
        <x:v>NOT_STARTED</x:v>
      </x:c>
      <x:c r="D13" s="77" t="str">
        <x:v>غير محلل بعد — يبدأ من UNKNOWN</x:v>
      </x:c>
      <x:c r="E13" s="77" t="str">
        <x:v>لا يملأ قبل التحليل الأعمى</x:v>
      </x:c>
      <x:c r="F13" s="77" t="str">
        <x:v>لا يملأ قبل التحليل الأعمى
التطبيقات الموضعية: تُستخرج بعد فصل Root Core عن الصيغة والتركيب والسياق</x:v>
      </x:c>
      <x:c r="G13" s="77" t="str">
        <x:v>لا يملأ قبل دليل سلبي حاسم</x:v>
      </x:c>
      <x:c r="H13" s="77" t="str">
        <x:v>Root Core والحدود الدلالية كاملة</x:v>
      </x:c>
      <x:c r="I13" s="77" t="str">
        <x:v>20:50؛ 2:2؛ 28:56؛ 6:71</x:v>
      </x:c>
      <x:c r="J13" s="77" t="str">
        <x:v>ضلل، رشد، بين، علم</x:v>
      </x:c>
      <x:c r="K13" s="77" t="str">
        <x:v>غير متاح</x:v>
      </x:c>
      <x:c r="L13" s="77" t="str">
        <x:v>Blind Discovery → Falsification → Lexical Differentiation → LOCK</x:v>
      </x:c>
      <x:c r="M13" s="77" t="str">
        <x:v>≥10 مواضع خصومية متنوعة ثم توسعة مرحلية</x:v>
      </x:c>
      <x:c r="N13" s="77" t="str">
        <x:v>https://corpus.quran.com/qurandictionary.jsp?q=hdy</x:v>
      </x:c>
    </x:row>
    <x:row r="14">
      <x:c r="A14" s="77" t="n">
        <x:v>8</x:v>
      </x:c>
      <x:c r="B14" s="77" t="str">
        <x:v>ظ ل م</x:v>
      </x:c>
      <x:c r="C14" s="77" t="str">
        <x:v>NOT_STARTED</x:v>
      </x:c>
      <x:c r="D14" s="77" t="str">
        <x:v>غير محلل بعد — يبدأ من UNKNOWN</x:v>
      </x:c>
      <x:c r="E14" s="77" t="str">
        <x:v>لا يملأ قبل التحليل الأعمى</x:v>
      </x:c>
      <x:c r="F14" s="77" t="str">
        <x:v>لا يملأ قبل التحليل الأعمى
التطبيقات الموضعية: تُستخرج بعد فصل Root Core عن الصيغة والتركيب والسياق</x:v>
      </x:c>
      <x:c r="G14" s="77" t="str">
        <x:v>لا يملأ قبل دليل سلبي حاسم</x:v>
      </x:c>
      <x:c r="H14" s="77" t="str">
        <x:v>Root Core والحدود الدلالية كاملة</x:v>
      </x:c>
      <x:c r="I14" s="77" t="str">
        <x:v>18:33؛ 2:57؛ 31:13؛ 4:40</x:v>
      </x:c>
      <x:c r="J14" s="77" t="str">
        <x:v>عدل، قسط، حقق</x:v>
      </x:c>
      <x:c r="K14" s="77" t="str">
        <x:v>غير متاح</x:v>
      </x:c>
      <x:c r="L14" s="77" t="str">
        <x:v>Blind Discovery → Falsification → Lexical Differentiation → LOCK</x:v>
      </x:c>
      <x:c r="M14" s="77" t="str">
        <x:v>≥10 مواضع خصومية متنوعة ثم توسعة مرحلية</x:v>
      </x:c>
      <x:c r="N14" s="77" t="str">
        <x:v>https://corpus.quran.com/qurandictionary.jsp?q=Zlm</x:v>
      </x:c>
    </x:row>
    <x:row r="15">
      <x:c r="A15" s="77" t="n">
        <x:v>9</x:v>
      </x:c>
      <x:c r="B15" s="77" t="str">
        <x:v>ح ك م</x:v>
      </x:c>
      <x:c r="C15" s="77" t="str">
        <x:v>NOT_STARTED</x:v>
      </x:c>
      <x:c r="D15" s="77" t="str">
        <x:v>غير محلل بعد — يبدأ من UNKNOWN</x:v>
      </x:c>
      <x:c r="E15" s="77" t="str">
        <x:v>لا يملأ قبل التحليل الأعمى</x:v>
      </x:c>
      <x:c r="F15" s="77" t="str">
        <x:v>لا يملأ قبل التحليل الأعمى
التطبيقات الموضعية: تُستخرج بعد فصل Root Core عن الصيغة والتركيب والسياق</x:v>
      </x:c>
      <x:c r="G15" s="77" t="str">
        <x:v>لا يملأ قبل دليل سلبي حاسم</x:v>
      </x:c>
      <x:c r="H15" s="77" t="str">
        <x:v>Root Core والحدود الدلالية كاملة</x:v>
      </x:c>
      <x:c r="I15" s="77" t="str">
        <x:v>11:1؛ 4:65؛ 12:40؛ 21:78</x:v>
      </x:c>
      <x:c r="J15" s="77" t="str">
        <x:v>قضي، أمر، حقق، عدل</x:v>
      </x:c>
      <x:c r="K15" s="77" t="str">
        <x:v>غير متاح</x:v>
      </x:c>
      <x:c r="L15" s="77" t="str">
        <x:v>Blind Discovery → Falsification → Lexical Differentiation → LOCK</x:v>
      </x:c>
      <x:c r="M15" s="77" t="str">
        <x:v>≥10 مواضع خصومية متنوعة ثم توسعة مرحلية</x:v>
      </x:c>
      <x:c r="N15" s="77" t="str">
        <x:v>https://corpus.quran.com/qurandictionary.jsp?q=Hkm</x:v>
      </x:c>
    </x:row>
    <x:row r="16">
      <x:c r="A16" s="77" t="n">
        <x:v>10</x:v>
      </x:c>
      <x:c r="B16" s="77" t="str">
        <x:v>خ ل ق</x:v>
      </x:c>
      <x:c r="C16" s="77" t="str">
        <x:v>NOT_STARTED</x:v>
      </x:c>
      <x:c r="D16" s="77" t="str">
        <x:v>غير محلل بعد — يبدأ من UNKNOWN</x:v>
      </x:c>
      <x:c r="E16" s="77" t="str">
        <x:v>لا يملأ قبل التحليل الأعمى</x:v>
      </x:c>
      <x:c r="F16" s="77" t="str">
        <x:v>لا يملأ قبل التحليل الأعمى
التطبيقات الموضعية: تُستخرج بعد فصل Root Core عن الصيغة والتركيب والسياق</x:v>
      </x:c>
      <x:c r="G16" s="77" t="str">
        <x:v>لا يملأ قبل دليل سلبي حاسم</x:v>
      </x:c>
      <x:c r="H16" s="77" t="str">
        <x:v>Root Core والحدود الدلالية كاملة</x:v>
      </x:c>
      <x:c r="I16" s="77" t="str">
        <x:v>4:1؛ 23:14؛ 29:17؛ 20:50</x:v>
      </x:c>
      <x:c r="J16" s="77" t="str">
        <x:v>جعل، صنع، فعل، فطر</x:v>
      </x:c>
      <x:c r="K16" s="77" t="str">
        <x:v>غير متاح</x:v>
      </x:c>
      <x:c r="L16" s="77" t="str">
        <x:v>Blind Discovery → Falsification → Lexical Differentiation → LOCK</x:v>
      </x:c>
      <x:c r="M16" s="77" t="str">
        <x:v>≥10 مواضع خصومية متنوعة ثم توسعة مرحلية</x:v>
      </x:c>
      <x:c r="N16" s="77" t="str">
        <x:v>https://corpus.quran.com/qurandictionary.jsp?q=xlq</x:v>
      </x:c>
    </x:row>
    <x:row r="17">
      <x:c r="A17" s="77" t="n">
        <x:v>11</x:v>
      </x:c>
      <x:c r="B17" s="77" t="str">
        <x:v>ق و ل</x:v>
      </x:c>
      <x:c r="C17" s="77" t="str">
        <x:v>NOT_STARTED</x:v>
      </x:c>
      <x:c r="D17" s="77" t="str">
        <x:v>غير محلل بعد — يبدأ من UNKNOWN</x:v>
      </x:c>
      <x:c r="E17" s="77" t="str">
        <x:v>لا يملأ قبل التحليل الأعمى</x:v>
      </x:c>
      <x:c r="F17" s="77" t="str">
        <x:v>لا يملأ قبل التحليل الأعمى
التطبيقات الموضعية: تُستخرج بعد فصل Root Core عن الصيغة والتركيب والسياق</x:v>
      </x:c>
      <x:c r="G17" s="77" t="str">
        <x:v>لا يملأ قبل دليل سلبي حاسم</x:v>
      </x:c>
      <x:c r="H17" s="77" t="str">
        <x:v>Root Core والحدود الدلالية كاملة</x:v>
      </x:c>
      <x:c r="I17" s="77" t="str">
        <x:v>33:70؛ 2:8؛ 36:82؛ 4:148</x:v>
      </x:c>
      <x:c r="J17" s="77" t="str">
        <x:v>كلام، نطق، دعو</x:v>
      </x:c>
      <x:c r="K17" s="77" t="str">
        <x:v>غير متاح</x:v>
      </x:c>
      <x:c r="L17" s="77" t="str">
        <x:v>Blind Discovery → Falsification → Lexical Differentiation → LOCK</x:v>
      </x:c>
      <x:c r="M17" s="77" t="str">
        <x:v>≥10 مواضع خصومية متنوعة ثم توسعة مرحلية</x:v>
      </x:c>
      <x:c r="N17" s="77" t="str">
        <x:v>https://corpus.quran.com/qurandictionary.jsp?q=qwl</x:v>
      </x:c>
    </x:row>
    <x:row r="18">
      <x:c r="A18" s="77" t="n">
        <x:v>12</x:v>
      </x:c>
      <x:c r="B18" s="77" t="str">
        <x:v>ق د ر</x:v>
      </x:c>
      <x:c r="C18" s="77" t="str">
        <x:v>NOT_STARTED</x:v>
      </x:c>
      <x:c r="D18" s="77" t="str">
        <x:v>غير محلل بعد — يبدأ من UNKNOWN</x:v>
      </x:c>
      <x:c r="E18" s="77" t="str">
        <x:v>لا يملأ قبل التحليل الأعمى</x:v>
      </x:c>
      <x:c r="F18" s="77" t="str">
        <x:v>لا يملأ قبل التحليل الأعمى
التطبيقات الموضعية: تُستخرج بعد فصل Root Core عن الصيغة والتركيب والسياق</x:v>
      </x:c>
      <x:c r="G18" s="77" t="str">
        <x:v>لا يملأ قبل دليل سلبي حاسم</x:v>
      </x:c>
      <x:c r="H18" s="77" t="str">
        <x:v>Root Core والحدود الدلالية كاملة</x:v>
      </x:c>
      <x:c r="I18" s="77" t="str">
        <x:v>15:21؛ 54:49؛ 65:3؛ 87:3؛ 89:16</x:v>
      </x:c>
      <x:c r="J18" s="77" t="str">
        <x:v>قضي، حكم، كتب، جعل، فرض</x:v>
      </x:c>
      <x:c r="K18" s="77" t="str">
        <x:v>غير متاح</x:v>
      </x:c>
      <x:c r="L18" s="77" t="str">
        <x:v>Blind Discovery → Falsification → Lexical Differentiation → LOCK</x:v>
      </x:c>
      <x:c r="M18" s="77" t="str">
        <x:v>≥10 مواضع خصومية متنوعة ثم توسعة مرحلية</x:v>
      </x:c>
      <x:c r="N18" s="77" t="str">
        <x:v>https://corpus.quran.com/qurandictionary.jsp?q=qdr</x:v>
      </x:c>
    </x:row>
    <x:row r="19">
      <x:c r="A19" s="77" t="n">
        <x:v>13</x:v>
      </x:c>
      <x:c r="B19" s="77" t="str">
        <x:v>ش ي أ (شاء/شيء)</x:v>
      </x:c>
      <x:c r="C19" s="77" t="str">
        <x:v>NOT_STARTED</x:v>
      </x:c>
      <x:c r="D19" s="77" t="str">
        <x:v>غير محلل بعد — يبدأ من UNKNOWN</x:v>
      </x:c>
      <x:c r="E19" s="77" t="str">
        <x:v>لا يملأ قبل التحليل الأعمى</x:v>
      </x:c>
      <x:c r="F19" s="77" t="str">
        <x:v>لا يملأ قبل التحليل الأعمى
التطبيقات الموضعية: تُستخرج بعد فصل Root Core عن الصيغة والتركيب والسياق</x:v>
      </x:c>
      <x:c r="G19" s="77" t="str">
        <x:v>لا يملأ قبل دليل سلبي حاسم</x:v>
      </x:c>
      <x:c r="H19" s="77" t="str">
        <x:v>Root Core والحدود الدلالية كاملة</x:v>
      </x:c>
      <x:c r="I19" s="77" t="str">
        <x:v>18:39؛ 76:30؛ 36:82؛ 6:35</x:v>
      </x:c>
      <x:c r="J19" s="77" t="str">
        <x:v>رود، قدر، أمر، كون</x:v>
      </x:c>
      <x:c r="K19" s="77" t="str">
        <x:v>غير متاح</x:v>
      </x:c>
      <x:c r="L19" s="77" t="str">
        <x:v>Blind Discovery → Falsification → Lexical Differentiation → LOCK</x:v>
      </x:c>
      <x:c r="M19" s="77" t="str">
        <x:v>≥10 مواضع خصومية متنوعة ثم توسعة مرحلية</x:v>
      </x:c>
      <x:c r="N19" s="77" t="str">
        <x:v>https://corpus.quran.com/qurandictionary.jsp?q=%24yA</x:v>
      </x:c>
    </x:row>
    <x:row r="20">
      <x:c r="A20" s="77" t="n">
        <x:v>14</x:v>
      </x:c>
      <x:c r="B20" s="77" t="str">
        <x:v>ح ق ق</x:v>
      </x:c>
      <x:c r="C20" s="77" t="str">
        <x:v>NOT_STARTED</x:v>
      </x:c>
      <x:c r="D20" s="77" t="str">
        <x:v>غير محلل بعد — يبدأ من UNKNOWN</x:v>
      </x:c>
      <x:c r="E20" s="77" t="str">
        <x:v>لا يملأ قبل التحليل الأعمى</x:v>
      </x:c>
      <x:c r="F20" s="77" t="str">
        <x:v>لا يملأ قبل التحليل الأعمى
التطبيقات الموضعية: تُستخرج بعد فصل Root Core عن الصيغة والتركيب والسياق</x:v>
      </x:c>
      <x:c r="G20" s="77" t="str">
        <x:v>لا يملأ قبل دليل سلبي حاسم</x:v>
      </x:c>
      <x:c r="H20" s="77" t="str">
        <x:v>Root Core والحدود الدلالية كاملة</x:v>
      </x:c>
      <x:c r="I20" s="77" t="str">
        <x:v>10:32؛ 8:8؛ 69:1؛ 22:6</x:v>
      </x:c>
      <x:c r="J20" s="77" t="str">
        <x:v>صدق، حكم، ثبت، باطل</x:v>
      </x:c>
      <x:c r="K20" s="77" t="str">
        <x:v>غير متاح</x:v>
      </x:c>
      <x:c r="L20" s="77" t="str">
        <x:v>Blind Discovery → Falsification → Lexical Differentiation → LOCK</x:v>
      </x:c>
      <x:c r="M20" s="77" t="str">
        <x:v>≥10 مواضع خصومية متنوعة ثم توسعة مرحلية</x:v>
      </x:c>
      <x:c r="N20" s="77" t="str">
        <x:v>https://corpus.quran.com/qurandictionary.jsp?q=Hqq</x:v>
      </x:c>
    </x:row>
    <x:row r="21">
      <x:c r="A21" s="77" t="n">
        <x:v>15</x:v>
      </x:c>
      <x:c r="B21" s="77" t="str">
        <x:v>أ م ر</x:v>
      </x:c>
      <x:c r="C21" s="77" t="str">
        <x:v>NOT_STARTED</x:v>
      </x:c>
      <x:c r="D21" s="77" t="str">
        <x:v>غير محلل بعد — يبدأ من UNKNOWN</x:v>
      </x:c>
      <x:c r="E21" s="77" t="str">
        <x:v>لا يملأ قبل التحليل الأعمى</x:v>
      </x:c>
      <x:c r="F21" s="77" t="str">
        <x:v>لا يملأ قبل التحليل الأعمى
التطبيقات الموضعية: تُستخرج بعد فصل Root Core عن الصيغة والتركيب والسياق</x:v>
      </x:c>
      <x:c r="G21" s="77" t="str">
        <x:v>لا يملأ قبل دليل سلبي حاسم</x:v>
      </x:c>
      <x:c r="H21" s="77" t="str">
        <x:v>Root Core والحدود الدلالية كاملة</x:v>
      </x:c>
      <x:c r="I21" s="77" t="str">
        <x:v>36:82؛ 7:54؛ 18:82؛ 65:12</x:v>
      </x:c>
      <x:c r="J21" s="77" t="str">
        <x:v>حكم، قضي، كتب، فرض، قول</x:v>
      </x:c>
      <x:c r="K21" s="77" t="str">
        <x:v>غير متاح</x:v>
      </x:c>
      <x:c r="L21" s="77" t="str">
        <x:v>Blind Discovery → Falsification → Lexical Differentiation → LOCK</x:v>
      </x:c>
      <x:c r="M21" s="77" t="str">
        <x:v>≥10 مواضع خصومية متنوعة ثم توسعة مرحلية</x:v>
      </x:c>
      <x:c r="N21" s="77" t="str">
        <x:v>https://corpus.quran.com/qurandictionary.jsp?q=Amr</x:v>
      </x:c>
    </x:row>
    <x:row r="22">
      <x:c r="A22" s="77" t="n">
        <x:v>16</x:v>
      </x:c>
      <x:c r="B22" s="77" t="str">
        <x:v>ك و ن</x:v>
      </x:c>
      <x:c r="C22" s="77" t="str">
        <x:v>NOT_STARTED</x:v>
      </x:c>
      <x:c r="D22" s="77" t="str">
        <x:v>غير محلل بعد — يبدأ من UNKNOWN</x:v>
      </x:c>
      <x:c r="E22" s="77" t="str">
        <x:v>لا يملأ قبل التحليل الأعمى</x:v>
      </x:c>
      <x:c r="F22" s="77" t="str">
        <x:v>لا يملأ قبل التحليل الأعمى
التطبيقات الموضعية: تُستخرج بعد فصل Root Core عن الصيغة والتركيب والسياق</x:v>
      </x:c>
      <x:c r="G22" s="77" t="str">
        <x:v>لا يملأ قبل دليل سلبي حاسم</x:v>
      </x:c>
      <x:c r="H22" s="77" t="str">
        <x:v>Root Core والحدود الدلالية كاملة</x:v>
      </x:c>
      <x:c r="I22" s="77" t="str">
        <x:v>2:117؛ 16:40؛ 3:79؛ 19:35</x:v>
      </x:c>
      <x:c r="J22" s="77" t="str">
        <x:v>جعل، خلق، حدث</x:v>
      </x:c>
      <x:c r="K22" s="77" t="str">
        <x:v>غير متاح</x:v>
      </x:c>
      <x:c r="L22" s="77" t="str">
        <x:v>Blind Discovery → Falsification → Lexical Differentiation → LOCK</x:v>
      </x:c>
      <x:c r="M22" s="77" t="str">
        <x:v>≥10 مواضع خصومية متنوعة ثم توسعة مرحلية</x:v>
      </x:c>
      <x:c r="N22" s="77" t="str">
        <x:v>https://corpus.quran.com/qurandictionary.jsp?q=kwn</x:v>
      </x:c>
    </x:row>
    <x:row r="23">
      <x:c r="A23" s="77" t="n">
        <x:v>17</x:v>
      </x:c>
      <x:c r="B23" s="77" t="str">
        <x:v>ض ل ل</x:v>
      </x:c>
      <x:c r="C23" s="77" t="str">
        <x:v>NOT_STARTED</x:v>
      </x:c>
      <x:c r="D23" s="77" t="str">
        <x:v>غير محلل بعد — يبدأ من UNKNOWN</x:v>
      </x:c>
      <x:c r="E23" s="77" t="str">
        <x:v>لا يملأ قبل التحليل الأعمى</x:v>
      </x:c>
      <x:c r="F23" s="77" t="str">
        <x:v>لا يملأ قبل التحليل الأعمى
التطبيقات الموضعية: تُستخرج بعد فصل Root Core عن الصيغة والتركيب والسياق</x:v>
      </x:c>
      <x:c r="G23" s="77" t="str">
        <x:v>لا يملأ قبل دليل سلبي حاسم</x:v>
      </x:c>
      <x:c r="H23" s="77" t="str">
        <x:v>Root Core والحدود الدلالية كاملة</x:v>
      </x:c>
      <x:c r="I23" s="77" t="str">
        <x:v>20:52؛ 53:2؛ 14:4؛ 26:86</x:v>
      </x:c>
      <x:c r="J23" s="77" t="str">
        <x:v>هدي، غوى، نسي</x:v>
      </x:c>
      <x:c r="K23" s="77" t="str">
        <x:v>غير متاح</x:v>
      </x:c>
      <x:c r="L23" s="77" t="str">
        <x:v>Blind Discovery → Falsification → Lexical Differentiation → LOCK</x:v>
      </x:c>
      <x:c r="M23" s="77" t="str">
        <x:v>≥10 مواضع خصومية متنوعة ثم توسعة مرحلية</x:v>
      </x:c>
      <x:c r="N23" s="77" t="str">
        <x:v>https://corpus.quran.com/qurandictionary.jsp?q=Dll</x:v>
      </x:c>
    </x:row>
    <x:row r="24">
      <x:c r="A24" s="77" t="n">
        <x:v>18</x:v>
      </x:c>
      <x:c r="B24" s="77" t="str">
        <x:v>ع م ل</x:v>
      </x:c>
      <x:c r="C24" s="77" t="str">
        <x:v>NOT_STARTED</x:v>
      </x:c>
      <x:c r="D24" s="77" t="str">
        <x:v>غير محلل بعد — يبدأ من UNKNOWN</x:v>
      </x:c>
      <x:c r="E24" s="77" t="str">
        <x:v>لا يملأ قبل التحليل الأعمى</x:v>
      </x:c>
      <x:c r="F24" s="77" t="str">
        <x:v>لا يملأ قبل التحليل الأعمى
التطبيقات الموضعية: تُستخرج بعد فصل Root Core عن الصيغة والتركيب والسياق</x:v>
      </x:c>
      <x:c r="G24" s="77" t="str">
        <x:v>لا يملأ قبل دليل سلبي حاسم</x:v>
      </x:c>
      <x:c r="H24" s="77" t="str">
        <x:v>Root Core والحدود الدلالية كاملة</x:v>
      </x:c>
      <x:c r="I24" s="77" t="str">
        <x:v>9:105؛ 99:7؛ 18:103؛ 2:25</x:v>
      </x:c>
      <x:c r="J24" s="77" t="str">
        <x:v>فعل، صنع، سعي، كسب</x:v>
      </x:c>
      <x:c r="K24" s="77" t="str">
        <x:v>غير متاح</x:v>
      </x:c>
      <x:c r="L24" s="77" t="str">
        <x:v>Blind Discovery → Falsification → Lexical Differentiation → LOCK</x:v>
      </x:c>
      <x:c r="M24" s="77" t="str">
        <x:v>≥10 مواضع خصومية متنوعة ثم توسعة مرحلية</x:v>
      </x:c>
      <x:c r="N24" s="77" t="str">
        <x:v>https://corpus.quran.com/qurandictionary.jsp?q=Eml</x:v>
      </x:c>
    </x:row>
    <x:row r="25">
      <x:c r="A25" s="77" t="n">
        <x:v>19</x:v>
      </x:c>
      <x:c r="B25" s="77" t="str">
        <x:v>ر و د (أراد/راود)</x:v>
      </x:c>
      <x:c r="C25" s="77" t="str">
        <x:v>NOT_STARTED</x:v>
      </x:c>
      <x:c r="D25" s="77" t="str">
        <x:v>غير محلل بعد — يبدأ من UNKNOWN</x:v>
      </x:c>
      <x:c r="E25" s="77" t="str">
        <x:v>لا يملأ قبل التحليل الأعمى</x:v>
      </x:c>
      <x:c r="F25" s="77" t="str">
        <x:v>لا يملأ قبل التحليل الأعمى
التطبيقات الموضعية: تُستخرج بعد فصل Root Core عن الصيغة والتركيب والسياق</x:v>
      </x:c>
      <x:c r="G25" s="77" t="str">
        <x:v>لا يملأ قبل دليل سلبي حاسم</x:v>
      </x:c>
      <x:c r="H25" s="77" t="str">
        <x:v>Root Core والحدود الدلالية كاملة</x:v>
      </x:c>
      <x:c r="I25" s="77" t="str">
        <x:v>2:185؛ 11:34؛ 18:77؛ 12:23؛ 16:40</x:v>
      </x:c>
      <x:c r="J25" s="77" t="str">
        <x:v>شيأ، حبب، قصد</x:v>
      </x:c>
      <x:c r="K25" s="77" t="str">
        <x:v>غير متاح</x:v>
      </x:c>
      <x:c r="L25" s="77" t="str">
        <x:v>Blind Discovery → Falsification → Lexical Differentiation → LOCK</x:v>
      </x:c>
      <x:c r="M25" s="77" t="str">
        <x:v>≥10 مواضع خصومية متنوعة ثم توسعة مرحلية</x:v>
      </x:c>
      <x:c r="N25" s="77" t="str">
        <x:v>https://corpus.quran.com/qurandictionary.jsp?q=rwd</x:v>
      </x:c>
    </x:row>
    <x:row r="26">
      <x:c r="A26" s="77" t="n">
        <x:v>20</x:v>
      </x:c>
      <x:c r="B26" s="77" t="str">
        <x:v>ج ع ل</x:v>
      </x:c>
      <x:c r="C26" s="77" t="str">
        <x:v>NOT_STARTED</x:v>
      </x:c>
      <x:c r="D26" s="77" t="str">
        <x:v>غير محلل بعد — يبدأ من UNKNOWN</x:v>
      </x:c>
      <x:c r="E26" s="77" t="str">
        <x:v>لا يملأ قبل التحليل الأعمى</x:v>
      </x:c>
      <x:c r="F26" s="77" t="str">
        <x:v>لا يملأ قبل التحليل الأعمى
التطبيقات الموضعية: تُستخرج بعد فصل Root Core عن الصيغة والتركيب والسياق</x:v>
      </x:c>
      <x:c r="G26" s="77" t="str">
        <x:v>لا يملأ قبل دليل سلبي حاسم</x:v>
      </x:c>
      <x:c r="H26" s="77" t="str">
        <x:v>Root Core والحدود الدلالية كاملة</x:v>
      </x:c>
      <x:c r="I26" s="77" t="str">
        <x:v>2:30؛ 16:78؛ 18:94؛ 43:3</x:v>
      </x:c>
      <x:c r="J26" s="77" t="str">
        <x:v>خلق، فعل، كون</x:v>
      </x:c>
      <x:c r="K26" s="77" t="str">
        <x:v>غير متاح</x:v>
      </x:c>
      <x:c r="L26" s="77" t="str">
        <x:v>Blind Discovery → Falsification → Lexical Differentiation → LOCK</x:v>
      </x:c>
      <x:c r="M26" s="77" t="str">
        <x:v>≥10 مواضع خصومية متنوعة ثم توسعة مرحلية</x:v>
      </x:c>
      <x:c r="N26" s="77" t="str">
        <x:v>https://corpus.quran.com/qurandictionary.jsp?q=jEl</x:v>
      </x:c>
    </x:row>
    <x:row r="27">
      <x:c r="A27" s="77" t="n">
        <x:v>21</x:v>
      </x:c>
      <x:c r="B27" s="77" t="str">
        <x:v>ف ع ل</x:v>
      </x:c>
      <x:c r="C27" s="77" t="str">
        <x:v>NOT_STARTED</x:v>
      </x:c>
      <x:c r="D27" s="77" t="str">
        <x:v>غير محلل بعد — يبدأ من UNKNOWN</x:v>
      </x:c>
      <x:c r="E27" s="77" t="str">
        <x:v>لا يملأ قبل التحليل الأعمى</x:v>
      </x:c>
      <x:c r="F27" s="77" t="str">
        <x:v>لا يملأ قبل التحليل الأعمى
التطبيقات الموضعية: تُستخرج بعد فصل Root Core عن الصيغة والتركيب والسياق</x:v>
      </x:c>
      <x:c r="G27" s="77" t="str">
        <x:v>لا يملأ قبل دليل سلبي حاسم</x:v>
      </x:c>
      <x:c r="H27" s="77" t="str">
        <x:v>Root Core والحدود الدلالية كاملة</x:v>
      </x:c>
      <x:c r="I27" s="77" t="str">
        <x:v>21:23؛ 18:82؛ 2:234؛ 26:19</x:v>
      </x:c>
      <x:c r="J27" s="77" t="str">
        <x:v>عمل، صنع، خلق، جعل</x:v>
      </x:c>
      <x:c r="K27" s="77" t="str">
        <x:v>غير متاح</x:v>
      </x:c>
      <x:c r="L27" s="77" t="str">
        <x:v>Blind Discovery → Falsification → Lexical Differentiation → LOCK</x:v>
      </x:c>
      <x:c r="M27" s="77" t="str">
        <x:v>≥10 مواضع خصومية متنوعة ثم توسعة مرحلية</x:v>
      </x:c>
      <x:c r="N27" s="77" t="str">
        <x:v>https://corpus.quran.com/qurandictionary.jsp?q=fEl</x:v>
      </x:c>
    </x:row>
    <x:row r="28">
      <x:c r="A28" s="77" t="n">
        <x:v>22</x:v>
      </x:c>
      <x:c r="B28" s="77" t="str">
        <x:v>ق ض ي (قضى)</x:v>
      </x:c>
      <x:c r="C28" s="77" t="str">
        <x:v>NOT_STARTED</x:v>
      </x:c>
      <x:c r="D28" s="77" t="str">
        <x:v>غير محلل بعد — يبدأ من UNKNOWN</x:v>
      </x:c>
      <x:c r="E28" s="77" t="str">
        <x:v>لا يملأ قبل التحليل الأعمى</x:v>
      </x:c>
      <x:c r="F28" s="77" t="str">
        <x:v>لا يملأ قبل التحليل الأعمى
التطبيقات الموضعية: تُستخرج بعد فصل Root Core عن الصيغة والتركيب والسياق</x:v>
      </x:c>
      <x:c r="G28" s="77" t="str">
        <x:v>لا يملأ قبل دليل سلبي حاسم</x:v>
      </x:c>
      <x:c r="H28" s="77" t="str">
        <x:v>Root Core والحدود الدلالية كاملة</x:v>
      </x:c>
      <x:c r="I28" s="77" t="str">
        <x:v>17:23؛ 2:117؛ 28:15؛ 33:37؛ 12:41</x:v>
      </x:c>
      <x:c r="J28" s="77" t="str">
        <x:v>قدر، حكم، أمر، كتب</x:v>
      </x:c>
      <x:c r="K28" s="77" t="str">
        <x:v>غير متاح</x:v>
      </x:c>
      <x:c r="L28" s="77" t="str">
        <x:v>Blind Discovery → Falsification → Lexical Differentiation → LOCK</x:v>
      </x:c>
      <x:c r="M28" s="77" t="str">
        <x:v>≥10 مواضع خصومية متنوعة ثم توسعة مرحلية</x:v>
      </x:c>
      <x:c r="N28" s="77" t="str">
        <x:v>https://corpus.quran.com/qurandictionary.jsp?q=qDy</x:v>
      </x:c>
    </x:row>
    <x:row r="29">
      <x:c r="A29" s="77" t="n">
        <x:v>23</x:v>
      </x:c>
      <x:c r="B29" s="77" t="str">
        <x:v>ر ح م</x:v>
      </x:c>
      <x:c r="C29" s="77" t="str">
        <x:v>NOT_STARTED</x:v>
      </x:c>
      <x:c r="D29" s="77" t="str">
        <x:v>غير محلل بعد — يبدأ من UNKNOWN</x:v>
      </x:c>
      <x:c r="E29" s="77" t="str">
        <x:v>لا يملأ قبل التحليل الأعمى</x:v>
      </x:c>
      <x:c r="F29" s="77" t="str">
        <x:v>لا يملأ قبل التحليل الأعمى
التطبيقات الموضعية: تُستخرج بعد فصل Root Core عن الصيغة والتركيب والسياق</x:v>
      </x:c>
      <x:c r="G29" s="77" t="str">
        <x:v>لا يملأ قبل دليل سلبي حاسم</x:v>
      </x:c>
      <x:c r="H29" s="77" t="str">
        <x:v>Root Core والحدود الدلالية كاملة</x:v>
      </x:c>
      <x:c r="I29" s="77" t="str">
        <x:v>6:12؛ 90:17؛ 17:24؛ 18:82</x:v>
      </x:c>
      <x:c r="J29" s="77" t="str">
        <x:v>عفو، غفر، حبب، رأف</x:v>
      </x:c>
      <x:c r="K29" s="77" t="str">
        <x:v>غير متاح</x:v>
      </x:c>
      <x:c r="L29" s="77" t="str">
        <x:v>Blind Discovery → Falsification → Lexical Differentiation → LOCK</x:v>
      </x:c>
      <x:c r="M29" s="77" t="str">
        <x:v>≥10 مواضع خصومية متنوعة ثم توسعة مرحلية</x:v>
      </x:c>
      <x:c r="N29" s="77" t="str">
        <x:v>https://corpus.quran.com/qurandictionary.jsp?q=rHm</x:v>
      </x:c>
    </x:row>
    <x:row r="30">
      <x:c r="A30" s="77" t="n">
        <x:v>24</x:v>
      </x:c>
      <x:c r="B30" s="77" t="str">
        <x:v>ذ ك ر</x:v>
      </x:c>
      <x:c r="C30" s="77" t="str">
        <x:v>NOT_STARTED</x:v>
      </x:c>
      <x:c r="D30" s="77" t="str">
        <x:v>غير محلل بعد — يبدأ من UNKNOWN</x:v>
      </x:c>
      <x:c r="E30" s="77" t="str">
        <x:v>لا يملأ قبل التحليل الأعمى</x:v>
      </x:c>
      <x:c r="F30" s="77" t="str">
        <x:v>لا يملأ قبل التحليل الأعمى
التطبيقات الموضعية: تُستخرج بعد فصل Root Core عن الصيغة والتركيب والسياق</x:v>
      </x:c>
      <x:c r="G30" s="77" t="str">
        <x:v>لا يملأ قبل دليل سلبي حاسم</x:v>
      </x:c>
      <x:c r="H30" s="77" t="str">
        <x:v>Root Core والحدود الدلالية كاملة</x:v>
      </x:c>
      <x:c r="I30" s="77" t="str">
        <x:v>2:152؛ 54:17؛ 21:10؛ 43:44</x:v>
      </x:c>
      <x:c r="J30" s="77" t="str">
        <x:v>نسي، علم، عقل</x:v>
      </x:c>
      <x:c r="K30" s="77" t="str">
        <x:v>غير متاح</x:v>
      </x:c>
      <x:c r="L30" s="77" t="str">
        <x:v>Blind Discovery → Falsification → Lexical Differentiation → LOCK</x:v>
      </x:c>
      <x:c r="M30" s="77" t="str">
        <x:v>≥10 مواضع خصومية متنوعة ثم توسعة مرحلية</x:v>
      </x:c>
      <x:c r="N30" s="77" t="str">
        <x:v>https://corpus.quran.com/qurandictionary.jsp?q=%2Akr</x:v>
      </x:c>
    </x:row>
    <x:row r="31">
      <x:c r="A31" s="77" t="n">
        <x:v>25</x:v>
      </x:c>
      <x:c r="B31" s="77" t="str">
        <x:v>ك ذ ب</x:v>
      </x:c>
      <x:c r="C31" s="77" t="str">
        <x:v>NOT_STARTED</x:v>
      </x:c>
      <x:c r="D31" s="77" t="str">
        <x:v>غير محلل بعد — يبدأ من UNKNOWN</x:v>
      </x:c>
      <x:c r="E31" s="77" t="str">
        <x:v>لا يملأ قبل التحليل الأعمى</x:v>
      </x:c>
      <x:c r="F31" s="77" t="str">
        <x:v>لا يملأ قبل التحليل الأعمى
التطبيقات الموضعية: تُستخرج بعد فصل Root Core عن الصيغة والتركيب والسياق</x:v>
      </x:c>
      <x:c r="G31" s="77" t="str">
        <x:v>لا يملأ قبل دليل سلبي حاسم</x:v>
      </x:c>
      <x:c r="H31" s="77" t="str">
        <x:v>Root Core والحدود الدلالية كاملة</x:v>
      </x:c>
      <x:c r="I31" s="77" t="str">
        <x:v>12:18؛ 39:32؛ 6:21؛ 77:19</x:v>
      </x:c>
      <x:c r="J31" s="77" t="str">
        <x:v>صدق، حقق، افترى</x:v>
      </x:c>
      <x:c r="K31" s="77" t="str">
        <x:v>غير متاح</x:v>
      </x:c>
      <x:c r="L31" s="77" t="str">
        <x:v>Blind Discovery → Falsification → Lexical Differentiation → LOCK</x:v>
      </x:c>
      <x:c r="M31" s="77" t="str">
        <x:v>≥10 مواضع خصومية متنوعة ثم توسعة مرحلية</x:v>
      </x:c>
      <x:c r="N31" s="77" t="str">
        <x:v>https://corpus.quran.com/qurandictionary.jsp?q=k%2Ab</x:v>
      </x:c>
    </x:row>
    <x:row r="32">
      <x:c r="A32" s="77" t="n">
        <x:v>26</x:v>
      </x:c>
      <x:c r="B32" s="77" t="str">
        <x:v>ن ف س</x:v>
      </x:c>
      <x:c r="C32" s="77" t="str">
        <x:v>NOT_STARTED</x:v>
      </x:c>
      <x:c r="D32" s="77" t="str">
        <x:v>غير محلل بعد — يبدأ من UNKNOWN</x:v>
      </x:c>
      <x:c r="E32" s="77" t="str">
        <x:v>لا يملأ قبل التحليل الأعمى</x:v>
      </x:c>
      <x:c r="F32" s="77" t="str">
        <x:v>لا يملأ قبل التحليل الأعمى
التطبيقات الموضعية: تُستخرج بعد فصل Root Core عن الصيغة والتركيب والسياق</x:v>
      </x:c>
      <x:c r="G32" s="77" t="str">
        <x:v>لا يملأ قبل دليل سلبي حاسم</x:v>
      </x:c>
      <x:c r="H32" s="77" t="str">
        <x:v>Root Core والحدود الدلالية كاملة</x:v>
      </x:c>
      <x:c r="I32" s="77" t="str">
        <x:v>6:12؛ 12:53؛ 39:42؛ 2:286</x:v>
      </x:c>
      <x:c r="J32" s="77" t="str">
        <x:v>روح، قلب، ذات</x:v>
      </x:c>
      <x:c r="K32" s="77" t="str">
        <x:v>غير متاح</x:v>
      </x:c>
      <x:c r="L32" s="77" t="str">
        <x:v>Blind Discovery → Falsification → Lexical Differentiation → LOCK</x:v>
      </x:c>
      <x:c r="M32" s="77" t="str">
        <x:v>≥10 مواضع خصومية متنوعة ثم توسعة مرحلية</x:v>
      </x:c>
      <x:c r="N32" s="77" t="str">
        <x:v>https://corpus.quran.com/qurandictionary.jsp?q=nfs</x:v>
      </x:c>
    </x:row>
    <x:row r="33">
      <x:c r="A33" s="77" t="n">
        <x:v>27</x:v>
      </x:c>
      <x:c r="B33" s="77" t="str">
        <x:v>ح ي ي</x:v>
      </x:c>
      <x:c r="C33" s="77" t="str">
        <x:v>NOT_STARTED</x:v>
      </x:c>
      <x:c r="D33" s="77" t="str">
        <x:v>غير محلل بعد — يبدأ من UNKNOWN</x:v>
      </x:c>
      <x:c r="E33" s="77" t="str">
        <x:v>لا يملأ قبل التحليل الأعمى</x:v>
      </x:c>
      <x:c r="F33" s="77" t="str">
        <x:v>لا يملأ قبل التحليل الأعمى
التطبيقات الموضعية: تُستخرج بعد فصل Root Core عن الصيغة والتركيب والسياق</x:v>
      </x:c>
      <x:c r="G33" s="77" t="str">
        <x:v>لا يملأ قبل دليل سلبي حاسم</x:v>
      </x:c>
      <x:c r="H33" s="77" t="str">
        <x:v>Root Core والحدود الدلالية كاملة</x:v>
      </x:c>
      <x:c r="I33" s="77" t="str">
        <x:v>2:258؛ 30:19؛ 8:42؛ 16:21</x:v>
      </x:c>
      <x:c r="J33" s="77" t="str">
        <x:v>موت، خلق، نفس، روح</x:v>
      </x:c>
      <x:c r="K33" s="77" t="str">
        <x:v>غير متاح</x:v>
      </x:c>
      <x:c r="L33" s="77" t="str">
        <x:v>Blind Discovery → Falsification → Lexical Differentiation → LOCK</x:v>
      </x:c>
      <x:c r="M33" s="77" t="str">
        <x:v>≥10 مواضع خصومية متنوعة ثم توسعة مرحلية</x:v>
      </x:c>
      <x:c r="N33" s="77" t="str">
        <x:v>https://corpus.quran.com/qurandictionary.jsp?q=Hyy</x:v>
      </x:c>
    </x:row>
    <x:row r="34">
      <x:c r="A34" s="77" t="n">
        <x:v>28</x:v>
      </x:c>
      <x:c r="B34" s="77" t="str">
        <x:v>ق ل ب</x:v>
      </x:c>
      <x:c r="C34" s="77" t="str">
        <x:v>NOT_STARTED</x:v>
      </x:c>
      <x:c r="D34" s="77" t="str">
        <x:v>غير محلل بعد — يبدأ من UNKNOWN</x:v>
      </x:c>
      <x:c r="E34" s="77" t="str">
        <x:v>لا يملأ قبل التحليل الأعمى</x:v>
      </x:c>
      <x:c r="F34" s="77" t="str">
        <x:v>لا يملأ قبل التحليل الأعمى
التطبيقات الموضعية: تُستخرج بعد فصل Root Core عن الصيغة والتركيب والسياق</x:v>
      </x:c>
      <x:c r="G34" s="77" t="str">
        <x:v>لا يملأ قبل دليل سلبي حاسم</x:v>
      </x:c>
      <x:c r="H34" s="77" t="str">
        <x:v>Root Core والحدود الدلالية كاملة</x:v>
      </x:c>
      <x:c r="I34" s="77" t="str">
        <x:v>2:10؛ 6:110؛ 3:144؛ 18:18</x:v>
      </x:c>
      <x:c r="J34" s="77" t="str">
        <x:v>نفس، روح، فؤاد</x:v>
      </x:c>
      <x:c r="K34" s="77" t="str">
        <x:v>غير متاح</x:v>
      </x:c>
      <x:c r="L34" s="77" t="str">
        <x:v>Blind Discovery → Falsification → Lexical Differentiation → LOCK</x:v>
      </x:c>
      <x:c r="M34" s="77" t="str">
        <x:v>≥10 مواضع خصومية متنوعة ثم توسعة مرحلية</x:v>
      </x:c>
      <x:c r="N34" s="77" t="str">
        <x:v>https://corpus.quran.com/qurandictionary.jsp?q=qlb</x:v>
      </x:c>
    </x:row>
    <x:row r="35">
      <x:c r="A35" s="77" t="n">
        <x:v>29</x:v>
      </x:c>
      <x:c r="B35" s="77" t="str">
        <x:v>ص د ق</x:v>
      </x:c>
      <x:c r="C35" s="77" t="str">
        <x:v>NOT_STARTED</x:v>
      </x:c>
      <x:c r="D35" s="77" t="str">
        <x:v>غير محلل بعد — يبدأ من UNKNOWN</x:v>
      </x:c>
      <x:c r="E35" s="77" t="str">
        <x:v>لا يملأ قبل التحليل الأعمى</x:v>
      </x:c>
      <x:c r="F35" s="77" t="str">
        <x:v>لا يملأ قبل التحليل الأعمى
التطبيقات الموضعية: تُستخرج بعد فصل Root Core عن الصيغة والتركيب والسياق</x:v>
      </x:c>
      <x:c r="G35" s="77" t="str">
        <x:v>لا يملأ قبل دليل سلبي حاسم</x:v>
      </x:c>
      <x:c r="H35" s="77" t="str">
        <x:v>Root Core والحدود الدلالية كاملة</x:v>
      </x:c>
      <x:c r="I35" s="77" t="str">
        <x:v>33:8؛ 39:33؛ 2:177؛ 12:17</x:v>
      </x:c>
      <x:c r="J35" s="77" t="str">
        <x:v>حقق، شهد، كذب</x:v>
      </x:c>
      <x:c r="K35" s="77" t="str">
        <x:v>غير متاح</x:v>
      </x:c>
      <x:c r="L35" s="77" t="str">
        <x:v>Blind Discovery → Falsification → Lexical Differentiation → LOCK</x:v>
      </x:c>
      <x:c r="M35" s="77" t="str">
        <x:v>≥10 مواضع خصومية متنوعة ثم توسعة مرحلية</x:v>
      </x:c>
      <x:c r="N35" s="77" t="str">
        <x:v>https://corpus.quran.com/qurandictionary.jsp?q=Sdq</x:v>
      </x:c>
    </x:row>
    <x:row r="36">
      <x:c r="A36" s="77" t="n">
        <x:v>30</x:v>
      </x:c>
      <x:c r="B36" s="77" t="str">
        <x:v>غ ف ر</x:v>
      </x:c>
      <x:c r="C36" s="77" t="str">
        <x:v>NOT_STARTED</x:v>
      </x:c>
      <x:c r="D36" s="77" t="str">
        <x:v>غير محلل بعد — يبدأ من UNKNOWN</x:v>
      </x:c>
      <x:c r="E36" s="77" t="str">
        <x:v>لا يملأ قبل التحليل الأعمى</x:v>
      </x:c>
      <x:c r="F36" s="77" t="str">
        <x:v>لا يملأ قبل التحليل الأعمى
التطبيقات الموضعية: تُستخرج بعد فصل Root Core عن الصيغة والتركيب والسياق</x:v>
      </x:c>
      <x:c r="G36" s="77" t="str">
        <x:v>لا يملأ قبل دليل سلبي حاسم</x:v>
      </x:c>
      <x:c r="H36" s="77" t="str">
        <x:v>Root Core والحدود الدلالية كاملة</x:v>
      </x:c>
      <x:c r="I36" s="77" t="str">
        <x:v>71:10؛ 2:58؛ 39:53؛ 4:48</x:v>
      </x:c>
      <x:c r="J36" s="77" t="str">
        <x:v>عفو، توب، رحم</x:v>
      </x:c>
      <x:c r="K36" s="77" t="str">
        <x:v>غير متاح</x:v>
      </x:c>
      <x:c r="L36" s="77" t="str">
        <x:v>Blind Discovery → Falsification → Lexical Differentiation → LOCK</x:v>
      </x:c>
      <x:c r="M36" s="77" t="str">
        <x:v>≥10 مواضع خصومية متنوعة ثم توسعة مرحلية</x:v>
      </x:c>
      <x:c r="N36" s="77" t="str">
        <x:v>https://corpus.quran.com/qurandictionary.jsp?q=gfr</x:v>
      </x:c>
    </x:row>
    <x:row r="37">
      <x:c r="A37" s="77" t="n">
        <x:v>31</x:v>
      </x:c>
      <x:c r="B37" s="77" t="str">
        <x:v>م و ت</x:v>
      </x:c>
      <x:c r="C37" s="77" t="str">
        <x:v>NOT_STARTED</x:v>
      </x:c>
      <x:c r="D37" s="77" t="str">
        <x:v>غير محلل بعد — يبدأ من UNKNOWN</x:v>
      </x:c>
      <x:c r="E37" s="77" t="str">
        <x:v>لا يملأ قبل التحليل الأعمى</x:v>
      </x:c>
      <x:c r="F37" s="77" t="str">
        <x:v>لا يملأ قبل التحليل الأعمى
التطبيقات الموضعية: تُستخرج بعد فصل Root Core عن الصيغة والتركيب والسياق</x:v>
      </x:c>
      <x:c r="G37" s="77" t="str">
        <x:v>لا يملأ قبل دليل سلبي حاسم</x:v>
      </x:c>
      <x:c r="H37" s="77" t="str">
        <x:v>Root Core والحدود الدلالية كاملة</x:v>
      </x:c>
      <x:c r="I37" s="77" t="str">
        <x:v>3:145؛ 2:28؛ 39:42؛ 67:2</x:v>
      </x:c>
      <x:c r="J37" s="77" t="str">
        <x:v>حيي، نفس، توفي</x:v>
      </x:c>
      <x:c r="K37" s="77" t="str">
        <x:v>غير متاح</x:v>
      </x:c>
      <x:c r="L37" s="77" t="str">
        <x:v>Blind Discovery → Falsification → Lexical Differentiation → LOCK</x:v>
      </x:c>
      <x:c r="M37" s="77" t="str">
        <x:v>≥10 مواضع خصومية متنوعة ثم توسعة مرحلية</x:v>
      </x:c>
      <x:c r="N37" s="77" t="str">
        <x:v>https://corpus.quran.com/qurandictionary.jsp?q=mwt</x:v>
      </x:c>
    </x:row>
    <x:row r="38">
      <x:c r="A38" s="77" t="n">
        <x:v>32</x:v>
      </x:c>
      <x:c r="B38" s="77" t="str">
        <x:v>ش ه د</x:v>
      </x:c>
      <x:c r="C38" s="77" t="str">
        <x:v>NOT_STARTED</x:v>
      </x:c>
      <x:c r="D38" s="77" t="str">
        <x:v>غير محلل بعد — يبدأ من UNKNOWN</x:v>
      </x:c>
      <x:c r="E38" s="77" t="str">
        <x:v>لا يملأ قبل التحليل الأعمى</x:v>
      </x:c>
      <x:c r="F38" s="77" t="str">
        <x:v>لا يملأ قبل التحليل الأعمى
التطبيقات الموضعية: تُستخرج بعد فصل Root Core عن الصيغة والتركيب والسياق</x:v>
      </x:c>
      <x:c r="G38" s="77" t="str">
        <x:v>لا يملأ قبل دليل سلبي حاسم</x:v>
      </x:c>
      <x:c r="H38" s="77" t="str">
        <x:v>Root Core والحدود الدلالية كاملة</x:v>
      </x:c>
      <x:c r="I38" s="77" t="str">
        <x:v>3:18؛ 2:282؛ 12:26؛ 22:78</x:v>
      </x:c>
      <x:c r="J38" s="77" t="str">
        <x:v>علم، رأي، بين، صدق</x:v>
      </x:c>
      <x:c r="K38" s="77" t="str">
        <x:v>غير متاح</x:v>
      </x:c>
      <x:c r="L38" s="77" t="str">
        <x:v>Blind Discovery → Falsification → Lexical Differentiation → LOCK</x:v>
      </x:c>
      <x:c r="M38" s="77" t="str">
        <x:v>≥10 مواضع خصومية متنوعة ثم توسعة مرحلية</x:v>
      </x:c>
      <x:c r="N38" s="77" t="str">
        <x:v>https://corpus.quran.com/qurandictionary.jsp?q=%24hd</x:v>
      </x:c>
    </x:row>
    <x:row r="39">
      <x:c r="A39" s="77" t="n">
        <x:v>33</x:v>
      </x:c>
      <x:c r="B39" s="77" t="str">
        <x:v>ح ب ب</x:v>
      </x:c>
      <x:c r="C39" s="77" t="str">
        <x:v>NOT_STARTED</x:v>
      </x:c>
      <x:c r="D39" s="77" t="str">
        <x:v>غير محلل بعد — يبدأ من UNKNOWN</x:v>
      </x:c>
      <x:c r="E39" s="77" t="str">
        <x:v>لا يملأ قبل التحليل الأعمى</x:v>
      </x:c>
      <x:c r="F39" s="77" t="str">
        <x:v>لا يملأ قبل التحليل الأعمى
التطبيقات الموضعية: تُستخرج بعد فصل Root Core عن الصيغة والتركيب والسياق</x:v>
      </x:c>
      <x:c r="G39" s="77" t="str">
        <x:v>لا يملأ قبل دليل سلبي حاسم</x:v>
      </x:c>
      <x:c r="H39" s="77" t="str">
        <x:v>Root Core والحدود الدلالية كاملة</x:v>
      </x:c>
      <x:c r="I39" s="77" t="str">
        <x:v>3:31؛ 2:165؛ 49:7؛ 14:3</x:v>
      </x:c>
      <x:c r="J39" s="77" t="str">
        <x:v>رضو، كره، ود</x:v>
      </x:c>
      <x:c r="K39" s="77" t="str">
        <x:v>غير متاح</x:v>
      </x:c>
      <x:c r="L39" s="77" t="str">
        <x:v>Blind Discovery → Falsification → Lexical Differentiation → LOCK</x:v>
      </x:c>
      <x:c r="M39" s="77" t="str">
        <x:v>≥10 مواضع خصومية متنوعة ثم توسعة مرحلية</x:v>
      </x:c>
      <x:c r="N39" s="77" t="str">
        <x:v>https://corpus.quran.com/qurandictionary.jsp?q=Hbb</x:v>
      </x:c>
    </x:row>
    <x:row r="40">
      <x:c r="A40" s="77" t="n">
        <x:v>34</x:v>
      </x:c>
      <x:c r="B40" s="77" t="str">
        <x:v>ت و ب</x:v>
      </x:c>
      <x:c r="C40" s="77" t="str">
        <x:v>NOT_STARTED</x:v>
      </x:c>
      <x:c r="D40" s="77" t="str">
        <x:v>غير محلل بعد — يبدأ من UNKNOWN</x:v>
      </x:c>
      <x:c r="E40" s="77" t="str">
        <x:v>لا يملأ قبل التحليل الأعمى</x:v>
      </x:c>
      <x:c r="F40" s="77" t="str">
        <x:v>لا يملأ قبل التحليل الأعمى
التطبيقات الموضعية: تُستخرج بعد فصل Root Core عن الصيغة والتركيب والسياق</x:v>
      </x:c>
      <x:c r="G40" s="77" t="str">
        <x:v>لا يملأ قبل دليل سلبي حاسم</x:v>
      </x:c>
      <x:c r="H40" s="77" t="str">
        <x:v>Root Core والحدود الدلالية كاملة</x:v>
      </x:c>
      <x:c r="I40" s="77" t="str">
        <x:v>9:118؛ 2:37؛ 4:17؛ 11:3</x:v>
      </x:c>
      <x:c r="J40" s="77" t="str">
        <x:v>غفر، عفو، رجع</x:v>
      </x:c>
      <x:c r="K40" s="77" t="str">
        <x:v>غير متاح</x:v>
      </x:c>
      <x:c r="L40" s="77" t="str">
        <x:v>Blind Discovery → Falsification → Lexical Differentiation → LOCK</x:v>
      </x:c>
      <x:c r="M40" s="77" t="str">
        <x:v>≥10 مواضع خصومية متنوعة ثم توسعة مرحلية</x:v>
      </x:c>
      <x:c r="N40" s="77" t="str">
        <x:v>https://corpus.quran.com/qurandictionary.jsp?q=twb</x:v>
      </x:c>
    </x:row>
    <x:row r="41">
      <x:c r="A41" s="77" t="n">
        <x:v>35</x:v>
      </x:c>
      <x:c r="B41" s="77" t="str">
        <x:v>ر ض و (رضي)</x:v>
      </x:c>
      <x:c r="C41" s="77" t="str">
        <x:v>NOT_STARTED</x:v>
      </x:c>
      <x:c r="D41" s="77" t="str">
        <x:v>غير محلل بعد — يبدأ من UNKNOWN</x:v>
      </x:c>
      <x:c r="E41" s="77" t="str">
        <x:v>لا يملأ قبل التحليل الأعمى</x:v>
      </x:c>
      <x:c r="F41" s="77" t="str">
        <x:v>لا يملأ قبل التحليل الأعمى
التطبيقات الموضعية: تُستخرج بعد فصل Root Core عن الصيغة والتركيب والسياق</x:v>
      </x:c>
      <x:c r="G41" s="77" t="str">
        <x:v>لا يملأ قبل دليل سلبي حاسم</x:v>
      </x:c>
      <x:c r="H41" s="77" t="str">
        <x:v>Root Core والحدود الدلالية كاملة</x:v>
      </x:c>
      <x:c r="I41" s="77" t="str">
        <x:v>5:119؛ 9:96؛ 20:109؛ 89:28</x:v>
      </x:c>
      <x:c r="J41" s="77" t="str">
        <x:v>حبب، كره، قبول</x:v>
      </x:c>
      <x:c r="K41" s="77" t="str">
        <x:v>غير متاح</x:v>
      </x:c>
      <x:c r="L41" s="77" t="str">
        <x:v>Blind Discovery → Falsification → Lexical Differentiation → LOCK</x:v>
      </x:c>
      <x:c r="M41" s="77" t="str">
        <x:v>≥10 مواضع خصومية متنوعة ثم توسعة مرحلية</x:v>
      </x:c>
      <x:c r="N41" s="77" t="str">
        <x:v>https://corpus.quran.com/qurandictionary.jsp?q=rDw</x:v>
      </x:c>
    </x:row>
    <x:row r="42">
      <x:c r="A42" s="77" t="n">
        <x:v>36</x:v>
      </x:c>
      <x:c r="B42" s="77" t="str">
        <x:v>ع ر ف</x:v>
      </x:c>
      <x:c r="C42" s="77" t="str">
        <x:v>NOT_STARTED</x:v>
      </x:c>
      <x:c r="D42" s="77" t="str">
        <x:v>غير محلل بعد — يبدأ من UNKNOWN</x:v>
      </x:c>
      <x:c r="E42" s="77" t="str">
        <x:v>لا يملأ قبل التحليل الأعمى</x:v>
      </x:c>
      <x:c r="F42" s="77" t="str">
        <x:v>لا يملأ قبل التحليل الأعمى
التطبيقات الموضعية: تُستخرج بعد فصل Root Core عن الصيغة والتركيب والسياق</x:v>
      </x:c>
      <x:c r="G42" s="77" t="str">
        <x:v>لا يملأ قبل دليل سلبي حاسم</x:v>
      </x:c>
      <x:c r="H42" s="77" t="str">
        <x:v>Root Core والحدود الدلالية كاملة</x:v>
      </x:c>
      <x:c r="I42" s="77" t="str">
        <x:v>2:89؛ 49:13؛ 47:6؛ 7:46</x:v>
      </x:c>
      <x:c r="J42" s="77" t="str">
        <x:v>علم، بين، شهد</x:v>
      </x:c>
      <x:c r="K42" s="77" t="str">
        <x:v>غير متاح</x:v>
      </x:c>
      <x:c r="L42" s="77" t="str">
        <x:v>Blind Discovery → Falsification → Lexical Differentiation → LOCK</x:v>
      </x:c>
      <x:c r="M42" s="77" t="str">
        <x:v>≥10 مواضع خصومية متنوعة ثم توسعة مرحلية</x:v>
      </x:c>
      <x:c r="N42" s="77" t="str">
        <x:v>https://corpus.quran.com/qurandictionary.jsp?q=Erf</x:v>
      </x:c>
    </x:row>
    <x:row r="43">
      <x:c r="A43" s="77" t="n">
        <x:v>37</x:v>
      </x:c>
      <x:c r="B43" s="77" t="str">
        <x:v>ر و ح</x:v>
      </x:c>
      <x:c r="C43" s="77" t="str">
        <x:v>NOT_STARTED</x:v>
      </x:c>
      <x:c r="D43" s="77" t="str">
        <x:v>غير محلل بعد — يبدأ من UNKNOWN</x:v>
      </x:c>
      <x:c r="E43" s="77" t="str">
        <x:v>لا يملأ قبل التحليل الأعمى</x:v>
      </x:c>
      <x:c r="F43" s="77" t="str">
        <x:v>لا يملأ قبل التحليل الأعمى
التطبيقات الموضعية: تُستخرج بعد فصل Root Core عن الصيغة والتركيب والسياق</x:v>
      </x:c>
      <x:c r="G43" s="77" t="str">
        <x:v>لا يملأ قبل دليل سلبي حاسم</x:v>
      </x:c>
      <x:c r="H43" s="77" t="str">
        <x:v>Root Core والحدود الدلالية كاملة</x:v>
      </x:c>
      <x:c r="I43" s="77" t="str">
        <x:v>15:29؛ 17:85؛ 12:87؛ 58:22</x:v>
      </x:c>
      <x:c r="J43" s="77" t="str">
        <x:v>نفس، حيي، ريح</x:v>
      </x:c>
      <x:c r="K43" s="77" t="str">
        <x:v>غير متاح</x:v>
      </x:c>
      <x:c r="L43" s="77" t="str">
        <x:v>Blind Discovery → Falsification → Lexical Differentiation → LOCK</x:v>
      </x:c>
      <x:c r="M43" s="77" t="str">
        <x:v>≥10 مواضع خصومية متنوعة ثم توسعة مرحلية</x:v>
      </x:c>
      <x:c r="N43" s="77" t="str">
        <x:v>https://corpus.quran.com/qurandictionary.jsp?q=rwH</x:v>
      </x:c>
    </x:row>
    <x:row r="44">
      <x:c r="A44" s="77" t="n">
        <x:v>38</x:v>
      </x:c>
      <x:c r="B44" s="77" t="str">
        <x:v>ك ر ه</x:v>
      </x:c>
      <x:c r="C44" s="77" t="str">
        <x:v>NOT_STARTED</x:v>
      </x:c>
      <x:c r="D44" s="77" t="str">
        <x:v>غير محلل بعد — يبدأ من UNKNOWN</x:v>
      </x:c>
      <x:c r="E44" s="77" t="str">
        <x:v>لا يملأ قبل التحليل الأعمى</x:v>
      </x:c>
      <x:c r="F44" s="77" t="str">
        <x:v>لا يملأ قبل التحليل الأعمى
التطبيقات الموضعية: تُستخرج بعد فصل Root Core عن الصيغة والتركيب والسياق</x:v>
      </x:c>
      <x:c r="G44" s="77" t="str">
        <x:v>لا يملأ قبل دليل سلبي حاسم</x:v>
      </x:c>
      <x:c r="H44" s="77" t="str">
        <x:v>Root Core والحدود الدلالية كاملة</x:v>
      </x:c>
      <x:c r="I44" s="77" t="str">
        <x:v>2:216؛ 49:7؛ 16:106؛ 9:46</x:v>
      </x:c>
      <x:c r="J44" s="77" t="str">
        <x:v>حبب، رضو، بغض</x:v>
      </x:c>
      <x:c r="K44" s="77" t="str">
        <x:v>غير متاح</x:v>
      </x:c>
      <x:c r="L44" s="77" t="str">
        <x:v>Blind Discovery → Falsification → Lexical Differentiation → LOCK</x:v>
      </x:c>
      <x:c r="M44" s="77" t="str">
        <x:v>≥10 مواضع خصومية متنوعة ثم توسعة مرحلية</x:v>
      </x:c>
      <x:c r="N44" s="77" t="str">
        <x:v>https://corpus.quran.com/qurandictionary.jsp?q=krh</x:v>
      </x:c>
    </x:row>
    <x:row r="45">
      <x:c r="A45" s="77" t="n">
        <x:v>39</x:v>
      </x:c>
      <x:c r="B45" s="77" t="str">
        <x:v>ع ف و</x:v>
      </x:c>
      <x:c r="C45" s="77" t="str">
        <x:v>NOT_STARTED</x:v>
      </x:c>
      <x:c r="D45" s="77" t="str">
        <x:v>غير محلل بعد — يبدأ من UNKNOWN</x:v>
      </x:c>
      <x:c r="E45" s="77" t="str">
        <x:v>لا يملأ قبل التحليل الأعمى</x:v>
      </x:c>
      <x:c r="F45" s="77" t="str">
        <x:v>لا يملأ قبل التحليل الأعمى
التطبيقات الموضعية: تُستخرج بعد فصل Root Core عن الصيغة والتركيب والسياق</x:v>
      </x:c>
      <x:c r="G45" s="77" t="str">
        <x:v>لا يملأ قبل دليل سلبي حاسم</x:v>
      </x:c>
      <x:c r="H45" s="77" t="str">
        <x:v>Root Core والحدود الدلالية كاملة</x:v>
      </x:c>
      <x:c r="I45" s="77" t="str">
        <x:v>2:219؛ 4:149؛ 42:40؛ 5:15</x:v>
      </x:c>
      <x:c r="J45" s="77" t="str">
        <x:v>غفر، رحم، صفح</x:v>
      </x:c>
      <x:c r="K45" s="77" t="str">
        <x:v>غير متاح</x:v>
      </x:c>
      <x:c r="L45" s="77" t="str">
        <x:v>Blind Discovery → Falsification → Lexical Differentiation → LOCK</x:v>
      </x:c>
      <x:c r="M45" s="77" t="str">
        <x:v>≥10 مواضع خصومية متنوعة ثم توسعة مرحلية</x:v>
      </x:c>
      <x:c r="N45" s="77" t="str">
        <x:v>https://corpus.quran.com/qurandictionary.jsp?q=Efw</x:v>
      </x:c>
    </x:row>
    <x:row r="46">
      <x:c r="A46" s="77" t="n">
        <x:v>40</x:v>
      </x:c>
      <x:c r="B46" s="77" t="str">
        <x:v>ع ق ل</x:v>
      </x:c>
      <x:c r="C46" s="77" t="str">
        <x:v>NOT_STARTED</x:v>
      </x:c>
      <x:c r="D46" s="77" t="str">
        <x:v>غير محلل بعد — يبدأ من UNKNOWN</x:v>
      </x:c>
      <x:c r="E46" s="77" t="str">
        <x:v>لا يملأ قبل التحليل الأعمى</x:v>
      </x:c>
      <x:c r="F46" s="77" t="str">
        <x:v>لا يملأ قبل التحليل الأعمى
التطبيقات الموضعية: تُستخرج بعد فصل Root Core عن الصيغة والتركيب والسياق</x:v>
      </x:c>
      <x:c r="G46" s="77" t="str">
        <x:v>لا يملأ قبل دليل سلبي حاسم</x:v>
      </x:c>
      <x:c r="H46" s="77" t="str">
        <x:v>Root Core والحدود الدلالية كاملة</x:v>
      </x:c>
      <x:c r="I46" s="77" t="str">
        <x:v>2:44؛ 22:46؛ 67:10؛ 29:43</x:v>
      </x:c>
      <x:c r="J46" s="77" t="str">
        <x:v>فقه، علم، ذكر</x:v>
      </x:c>
      <x:c r="K46" s="77" t="str">
        <x:v>غير متاح</x:v>
      </x:c>
      <x:c r="L46" s="77" t="str">
        <x:v>Blind Discovery → Falsification → Lexical Differentiation → LOCK</x:v>
      </x:c>
      <x:c r="M46" s="77" t="str">
        <x:v>≥10 مواضع خصومية متنوعة ثم توسعة مرحلية</x:v>
      </x:c>
      <x:c r="N46" s="77" t="str">
        <x:v>https://corpus.quran.com/qurandictionary.jsp?q=Eql</x:v>
      </x:c>
    </x:row>
    <x:row r="47">
      <x:c r="A47" s="77" t="n">
        <x:v>41</x:v>
      </x:c>
      <x:c r="B47" s="77" t="str">
        <x:v>ب ع د</x:v>
      </x:c>
      <x:c r="C47" s="77" t="str">
        <x:v>NOT_STARTED</x:v>
      </x:c>
      <x:c r="D47" s="77" t="str">
        <x:v>غير محلل بعد — يبدأ من UNKNOWN</x:v>
      </x:c>
      <x:c r="E47" s="77" t="str">
        <x:v>لا يملأ قبل التحليل الأعمى</x:v>
      </x:c>
      <x:c r="F47" s="77" t="str">
        <x:v>لا يملأ قبل التحليل الأعمى
التطبيقات الموضعية: تُستخرج بعد فصل Root Core عن الصيغة والتركيب والسياق</x:v>
      </x:c>
      <x:c r="G47" s="77" t="str">
        <x:v>لا يملأ قبل دليل سلبي حاسم</x:v>
      </x:c>
      <x:c r="H47" s="77" t="str">
        <x:v>Root Core والحدود الدلالية كاملة</x:v>
      </x:c>
      <x:c r="I47" s="77" t="str">
        <x:v>11:44؛ 50:31؛ 14:3؛ 21:109</x:v>
      </x:c>
      <x:c r="J47" s="77" t="str">
        <x:v>قرب، قطع، إعراض</x:v>
      </x:c>
      <x:c r="K47" s="77" t="str">
        <x:v>غير متاح</x:v>
      </x:c>
      <x:c r="L47" s="77" t="str">
        <x:v>Blind Discovery → Falsification → Lexical Differentiation → LOCK</x:v>
      </x:c>
      <x:c r="M47" s="77" t="str">
        <x:v>≥10 مواضع خصومية متنوعة ثم توسعة مرحلية</x:v>
      </x:c>
      <x:c r="N47" s="77" t="str">
        <x:v>https://corpus.quran.com/qurandictionary.jsp?q=bEd</x:v>
      </x:c>
    </x:row>
    <x:row r="48">
      <x:c r="A48" s="77" t="n">
        <x:v>42</x:v>
      </x:c>
      <x:c r="B48" s="77" t="str">
        <x:v>ج م ع</x:v>
      </x:c>
      <x:c r="C48" s="77" t="str">
        <x:v>NOT_STARTED</x:v>
      </x:c>
      <x:c r="D48" s="77" t="str">
        <x:v>غير محلل بعد — يبدأ من UNKNOWN</x:v>
      </x:c>
      <x:c r="E48" s="77" t="str">
        <x:v>لا يملأ قبل التحليل الأعمى</x:v>
      </x:c>
      <x:c r="F48" s="77" t="str">
        <x:v>لا يملأ قبل التحليل الأعمى
التطبيقات الموضعية: تُستخرج بعد فصل Root Core عن الصيغة والتركيب والسياق</x:v>
      </x:c>
      <x:c r="G48" s="77" t="str">
        <x:v>لا يملأ قبل دليل سلبي حاسم</x:v>
      </x:c>
      <x:c r="H48" s="77" t="str">
        <x:v>Root Core والحدود الدلالية كاملة</x:v>
      </x:c>
      <x:c r="I48" s="77" t="str">
        <x:v>6:12؛ 3:103؛ 75:17؛ 18:61</x:v>
      </x:c>
      <x:c r="J48" s="77" t="str">
        <x:v>فرق، ألف، ضمم، ربط</x:v>
      </x:c>
      <x:c r="K48" s="77" t="str">
        <x:v>غير متاح</x:v>
      </x:c>
      <x:c r="L48" s="77" t="str">
        <x:v>Blind Discovery → Falsification → Lexical Differentiation → LOCK</x:v>
      </x:c>
      <x:c r="M48" s="77" t="str">
        <x:v>≥10 مواضع خصومية متنوعة ثم توسعة مرحلية</x:v>
      </x:c>
      <x:c r="N48" s="77" t="str">
        <x:v>https://corpus.quran.com/qurandictionary.jsp?q=jmE</x:v>
      </x:c>
    </x:row>
    <x:row r="49">
      <x:c r="A49" s="77" t="n">
        <x:v>43</x:v>
      </x:c>
      <x:c r="B49" s="77" t="str">
        <x:v>ق ر ب</x:v>
      </x:c>
      <x:c r="C49" s="77" t="str">
        <x:v>NOT_STARTED</x:v>
      </x:c>
      <x:c r="D49" s="77" t="str">
        <x:v>غير محلل بعد — يبدأ من UNKNOWN</x:v>
      </x:c>
      <x:c r="E49" s="77" t="str">
        <x:v>لا يملأ قبل التحليل الأعمى</x:v>
      </x:c>
      <x:c r="F49" s="77" t="str">
        <x:v>لا يملأ قبل التحليل الأعمى
التطبيقات الموضعية: تُستخرج بعد فصل Root Core عن الصيغة والتركيب والسياق</x:v>
      </x:c>
      <x:c r="G49" s="77" t="str">
        <x:v>لا يملأ قبل دليل سلبي حاسم</x:v>
      </x:c>
      <x:c r="H49" s="77" t="str">
        <x:v>Root Core والحدود الدلالية كاملة</x:v>
      </x:c>
      <x:c r="I49" s="77" t="str">
        <x:v>2:35؛ 17:32؛ 50:16؛ 5:27</x:v>
      </x:c>
      <x:c r="J49" s="77" t="str">
        <x:v>بعد، وصل، دنو</x:v>
      </x:c>
      <x:c r="K49" s="77" t="str">
        <x:v>غير متاح</x:v>
      </x:c>
      <x:c r="L49" s="77" t="str">
        <x:v>Blind Discovery → Falsification → Lexical Differentiation → LOCK</x:v>
      </x:c>
      <x:c r="M49" s="77" t="str">
        <x:v>≥10 مواضع خصومية متنوعة ثم توسعة مرحلية</x:v>
      </x:c>
      <x:c r="N49" s="77" t="str">
        <x:v>https://corpus.quran.com/qurandictionary.jsp?q=qrb</x:v>
      </x:c>
    </x:row>
    <x:row r="50">
      <x:c r="A50" s="77" t="n">
        <x:v>44</x:v>
      </x:c>
      <x:c r="B50" s="77" t="str">
        <x:v>ع ر ض</x:v>
      </x:c>
      <x:c r="C50" s="77" t="str">
        <x:v>NOT_STARTED</x:v>
      </x:c>
      <x:c r="D50" s="77" t="str">
        <x:v>غير محلل بعد — يبدأ من UNKNOWN</x:v>
      </x:c>
      <x:c r="E50" s="77" t="str">
        <x:v>لا يملأ قبل التحليل الأعمى</x:v>
      </x:c>
      <x:c r="F50" s="77" t="str">
        <x:v>لا يملأ قبل التحليل الأعمى
التطبيقات الموضعية: تُستخرج بعد فصل Root Core عن الصيغة والتركيب والسياق</x:v>
      </x:c>
      <x:c r="G50" s="77" t="str">
        <x:v>لا يملأ قبل دليل سلبي حاسم</x:v>
      </x:c>
      <x:c r="H50" s="77" t="str">
        <x:v>Root Core والحدود الدلالية كاملة</x:v>
      </x:c>
      <x:c r="I50" s="77" t="str">
        <x:v>4:128؛ 2:31؛ 33:72؛ 18:100</x:v>
      </x:c>
      <x:c r="J50" s="77" t="str">
        <x:v>نشز، بعد، ولي/تولى</x:v>
      </x:c>
      <x:c r="K50" s="77" t="str">
        <x:v>غير متاح</x:v>
      </x:c>
      <x:c r="L50" s="77" t="str">
        <x:v>Blind Discovery → Falsification → Lexical Differentiation → LOCK</x:v>
      </x:c>
      <x:c r="M50" s="77" t="str">
        <x:v>≥10 مواضع خصومية متنوعة ثم توسعة مرحلية</x:v>
      </x:c>
      <x:c r="N50" s="77" t="str">
        <x:v>https://corpus.quran.com/qurandictionary.jsp?q=ErD</x:v>
      </x:c>
    </x:row>
    <x:row r="51">
      <x:c r="A51" s="77" t="n">
        <x:v>45</x:v>
      </x:c>
      <x:c r="B51" s="77" t="str">
        <x:v>ف ر ق</x:v>
      </x:c>
      <x:c r="C51" s="77" t="str">
        <x:v>NOT_STARTED</x:v>
      </x:c>
      <x:c r="D51" s="77" t="str">
        <x:v>غير محلل بعد — يبدأ من UNKNOWN</x:v>
      </x:c>
      <x:c r="E51" s="77" t="str">
        <x:v>لا يملأ قبل التحليل الأعمى</x:v>
      </x:c>
      <x:c r="F51" s="77" t="str">
        <x:v>لا يملأ قبل التحليل الأعمى
التطبيقات الموضعية: تُستخرج بعد فصل Root Core عن الصيغة والتركيب والسياق</x:v>
      </x:c>
      <x:c r="G51" s="77" t="str">
        <x:v>لا يملأ قبل دليل سلبي حاسم</x:v>
      </x:c>
      <x:c r="H51" s="77" t="str">
        <x:v>Root Core والحدود الدلالية كاملة</x:v>
      </x:c>
      <x:c r="I51" s="77" t="str">
        <x:v>2:53؛ 2:285؛ 3:103؛ 77:4</x:v>
      </x:c>
      <x:c r="J51" s="77" t="str">
        <x:v>جمع، بين، قطع، فصل</x:v>
      </x:c>
      <x:c r="K51" s="77" t="str">
        <x:v>غير متاح</x:v>
      </x:c>
      <x:c r="L51" s="77" t="str">
        <x:v>Blind Discovery → Falsification → Lexical Differentiation → LOCK</x:v>
      </x:c>
      <x:c r="M51" s="77" t="str">
        <x:v>≥10 مواضع خصومية متنوعة ثم توسعة مرحلية</x:v>
      </x:c>
      <x:c r="N51" s="77" t="str">
        <x:v>https://corpus.quran.com/qurandictionary.jsp?q=frq</x:v>
      </x:c>
    </x:row>
    <x:row r="52">
      <x:c r="A52" s="77" t="n">
        <x:v>46</x:v>
      </x:c>
      <x:c r="B52" s="77" t="str">
        <x:v>ق ط ع</x:v>
      </x:c>
      <x:c r="C52" s="77" t="str">
        <x:v>NOT_STARTED</x:v>
      </x:c>
      <x:c r="D52" s="77" t="str">
        <x:v>غير محلل بعد — يبدأ من UNKNOWN</x:v>
      </x:c>
      <x:c r="E52" s="77" t="str">
        <x:v>لا يملأ قبل التحليل الأعمى</x:v>
      </x:c>
      <x:c r="F52" s="77" t="str">
        <x:v>لا يملأ قبل التحليل الأعمى
التطبيقات الموضعية: تُستخرج بعد فصل Root Core عن الصيغة والتركيب والسياق</x:v>
      </x:c>
      <x:c r="G52" s="77" t="str">
        <x:v>لا يملأ قبل دليل سلبي حاسم</x:v>
      </x:c>
      <x:c r="H52" s="77" t="str">
        <x:v>Root Core والحدود الدلالية كاملة</x:v>
      </x:c>
      <x:c r="I52" s="77" t="str">
        <x:v>2:27؛ 47:22؛ 12:31؛ 69:46</x:v>
      </x:c>
      <x:c r="J52" s="77" t="str">
        <x:v>وصل، فرق، فصل</x:v>
      </x:c>
      <x:c r="K52" s="77" t="str">
        <x:v>غير متاح</x:v>
      </x:c>
      <x:c r="L52" s="77" t="str">
        <x:v>Blind Discovery → Falsification → Lexical Differentiation → LOCK</x:v>
      </x:c>
      <x:c r="M52" s="77" t="str">
        <x:v>≥10 مواضع خصومية متنوعة ثم توسعة مرحلية</x:v>
      </x:c>
      <x:c r="N52" s="77" t="str">
        <x:v>https://corpus.quran.com/qurandictionary.jsp?q=qTE</x:v>
      </x:c>
    </x:row>
    <x:row r="53">
      <x:c r="A53" s="77" t="n">
        <x:v>47</x:v>
      </x:c>
      <x:c r="B53" s="77" t="str">
        <x:v>أ ل ف</x:v>
      </x:c>
      <x:c r="C53" s="77" t="str">
        <x:v>NOT_STARTED</x:v>
      </x:c>
      <x:c r="D53" s="77" t="str">
        <x:v>غير محلل بعد — يبدأ من UNKNOWN</x:v>
      </x:c>
      <x:c r="E53" s="77" t="str">
        <x:v>لا يملأ قبل التحليل الأعمى</x:v>
      </x:c>
      <x:c r="F53" s="77" t="str">
        <x:v>لا يملأ قبل التحليل الأعمى
التطبيقات الموضعية: تُستخرج بعد فصل Root Core عن الصيغة والتركيب والسياق</x:v>
      </x:c>
      <x:c r="G53" s="77" t="str">
        <x:v>لا يملأ قبل دليل سلبي حاسم</x:v>
      </x:c>
      <x:c r="H53" s="77" t="str">
        <x:v>Root Core والحدود الدلالية كاملة</x:v>
      </x:c>
      <x:c r="I53" s="77" t="str">
        <x:v>3:103؛ 8:63؛ 106:1؛ 2:96</x:v>
      </x:c>
      <x:c r="J53" s="77" t="str">
        <x:v>جمع، ربط، حبب، العدد ألف</x:v>
      </x:c>
      <x:c r="K53" s="77" t="str">
        <x:v>غير متاح</x:v>
      </x:c>
      <x:c r="L53" s="77" t="str">
        <x:v>Blind Discovery → Falsification → Lexical Differentiation → LOCK</x:v>
      </x:c>
      <x:c r="M53" s="77" t="str">
        <x:v>≥10 مواضع خصومية متنوعة ثم توسعة مرحلية</x:v>
      </x:c>
      <x:c r="N53" s="77" t="str">
        <x:v>https://corpus.quran.com/qurandictionary.jsp?q=Alf</x:v>
      </x:c>
    </x:row>
    <x:row r="54">
      <x:c r="A54" s="77" t="n">
        <x:v>48</x:v>
      </x:c>
      <x:c r="B54" s="77" t="str">
        <x:v>ص ن ع</x:v>
      </x:c>
      <x:c r="C54" s="77" t="str">
        <x:v>NOT_STARTED</x:v>
      </x:c>
      <x:c r="D54" s="77" t="str">
        <x:v>غير محلل بعد — يبدأ من UNKNOWN</x:v>
      </x:c>
      <x:c r="E54" s="77" t="str">
        <x:v>لا يملأ قبل التحليل الأعمى</x:v>
      </x:c>
      <x:c r="F54" s="77" t="str">
        <x:v>لا يملأ قبل التحليل الأعمى
التطبيقات الموضعية: تُستخرج بعد فصل Root Core عن الصيغة والتركيب والسياق</x:v>
      </x:c>
      <x:c r="G54" s="77" t="str">
        <x:v>لا يملأ قبل دليل سلبي حاسم</x:v>
      </x:c>
      <x:c r="H54" s="77" t="str">
        <x:v>Root Core والحدود الدلالية كاملة</x:v>
      </x:c>
      <x:c r="I54" s="77" t="str">
        <x:v>27:88؛ 20:39؛ 11:37؛ 26:129</x:v>
      </x:c>
      <x:c r="J54" s="77" t="str">
        <x:v>فعل، عمل، خلق، جعل</x:v>
      </x:c>
      <x:c r="K54" s="77" t="str">
        <x:v>غير متاح</x:v>
      </x:c>
      <x:c r="L54" s="77" t="str">
        <x:v>Blind Discovery → Falsification → Lexical Differentiation → LOCK</x:v>
      </x:c>
      <x:c r="M54" s="77" t="str">
        <x:v>100% من جميع المواضع</x:v>
      </x:c>
      <x:c r="N54" s="77" t="str">
        <x:v>https://corpus.quran.com/qurandictionary.jsp?q=SnE</x:v>
      </x:c>
    </x:row>
    <x:row r="55">
      <x:c r="A55" s="77" t="n">
        <x:v>49</x:v>
      </x:c>
      <x:c r="B55" s="77" t="str">
        <x:v>ث ب ت</x:v>
      </x:c>
      <x:c r="C55" s="77" t="str">
        <x:v>NOT_STARTED</x:v>
      </x:c>
      <x:c r="D55" s="77" t="str">
        <x:v>غير محلل بعد — يبدأ من UNKNOWN</x:v>
      </x:c>
      <x:c r="E55" s="77" t="str">
        <x:v>لا يملأ قبل التحليل الأعمى</x:v>
      </x:c>
      <x:c r="F55" s="77" t="str">
        <x:v>لا يملأ قبل التحليل الأعمى
التطبيقات الموضعية: تُستخرج بعد فصل Root Core عن الصيغة والتركيب والسياق</x:v>
      </x:c>
      <x:c r="G55" s="77" t="str">
        <x:v>لا يملأ قبل دليل سلبي حاسم</x:v>
      </x:c>
      <x:c r="H55" s="77" t="str">
        <x:v>Root Core والحدود الدلالية كاملة</x:v>
      </x:c>
      <x:c r="I55" s="77" t="str">
        <x:v>14:27؛ 8:11؛ 17:74؛ 16:102</x:v>
      </x:c>
      <x:c r="J55" s="77" t="str">
        <x:v>كتب، ربط، قرار</x:v>
      </x:c>
      <x:c r="K55" s="77" t="str">
        <x:v>غير متاح</x:v>
      </x:c>
      <x:c r="L55" s="77" t="str">
        <x:v>Blind Discovery → Falsification → Lexical Differentiation → LOCK</x:v>
      </x:c>
      <x:c r="M55" s="77" t="str">
        <x:v>100% من جميع المواضع</x:v>
      </x:c>
      <x:c r="N55" s="77" t="str">
        <x:v>https://corpus.quran.com/qurandictionary.jsp?q=vbt</x:v>
      </x:c>
    </x:row>
    <x:row r="56">
      <x:c r="A56" s="77" t="n">
        <x:v>50</x:v>
      </x:c>
      <x:c r="B56" s="77" t="str">
        <x:v>س ط ر</x:v>
      </x:c>
      <x:c r="C56" s="77" t="str">
        <x:v>NOT_STARTED</x:v>
      </x:c>
      <x:c r="D56" s="77" t="str">
        <x:v>غير محلل بعد — يبدأ من UNKNOWN</x:v>
      </x:c>
      <x:c r="E56" s="77" t="str">
        <x:v>لا يملأ قبل التحليل الأعمى</x:v>
      </x:c>
      <x:c r="F56" s="77" t="str">
        <x:v>لا يملأ قبل التحليل الأعمى
التطبيقات الموضعية: تُستخرج بعد فصل Root Core عن الصيغة والتركيب والسياق</x:v>
      </x:c>
      <x:c r="G56" s="77" t="str">
        <x:v>لا يملأ قبل دليل سلبي حاسم</x:v>
      </x:c>
      <x:c r="H56" s="77" t="str">
        <x:v>Root Core والحدود الدلالية كاملة</x:v>
      </x:c>
      <x:c r="I56" s="77" t="str">
        <x:v>52:2؛ 68:1؛ 54:53؛ 17:58</x:v>
      </x:c>
      <x:c r="J56" s="77" t="str">
        <x:v>كتب، خطط، رقم</x:v>
      </x:c>
      <x:c r="K56" s="77" t="str">
        <x:v>غير متاح</x:v>
      </x:c>
      <x:c r="L56" s="77" t="str">
        <x:v>Blind Discovery → Falsification → Lexical Differentiation → LOCK</x:v>
      </x:c>
      <x:c r="M56" s="77" t="str">
        <x:v>100% من جميع المواضع</x:v>
      </x:c>
      <x:c r="N56" s="77" t="str">
        <x:v>https://corpus.quran.com/qurandictionary.jsp?q=sTr</x:v>
      </x:c>
    </x:row>
    <x:row r="57">
      <x:c r="A57" s="77" t="n">
        <x:v>51</x:v>
      </x:c>
      <x:c r="B57" s="77" t="str">
        <x:v>ف ر ض</x:v>
      </x:c>
      <x:c r="C57" s="77" t="str">
        <x:v>NOT_STARTED</x:v>
      </x:c>
      <x:c r="D57" s="77" t="str">
        <x:v>غير محلل بعد — يبدأ من UNKNOWN</x:v>
      </x:c>
      <x:c r="E57" s="77" t="str">
        <x:v>لا يملأ قبل التحليل الأعمى</x:v>
      </x:c>
      <x:c r="F57" s="77" t="str">
        <x:v>لا يملأ قبل التحليل الأعمى
التطبيقات الموضعية: تُستخرج بعد فصل Root Core عن الصيغة والتركيب والسياق</x:v>
      </x:c>
      <x:c r="G57" s="77" t="str">
        <x:v>لا يملأ قبل دليل سلبي حاسم</x:v>
      </x:c>
      <x:c r="H57" s="77" t="str">
        <x:v>Root Core والحدود الدلالية كاملة</x:v>
      </x:c>
      <x:c r="I57" s="77" t="str">
        <x:v>28:85؛ 66:2؛ 2:237؛ 24:1</x:v>
      </x:c>
      <x:c r="J57" s="77" t="str">
        <x:v>كتب، أمر، حكم، قدر</x:v>
      </x:c>
      <x:c r="K57" s="77" t="str">
        <x:v>غير متاح</x:v>
      </x:c>
      <x:c r="L57" s="77" t="str">
        <x:v>Blind Discovery → Falsification → Lexical Differentiation → LOCK</x:v>
      </x:c>
      <x:c r="M57" s="77" t="str">
        <x:v>100% من جميع المواضع</x:v>
      </x:c>
      <x:c r="N57" s="77" t="str">
        <x:v>https://corpus.quran.com/qurandictionary.jsp?q=frD</x:v>
      </x:c>
    </x:row>
    <x:row r="58">
      <x:c r="A58" s="77" t="n">
        <x:v>52</x:v>
      </x:c>
      <x:c r="B58" s="77" t="str">
        <x:v>و ص ل</x:v>
      </x:c>
      <x:c r="C58" s="77" t="str">
        <x:v>NOT_STARTED</x:v>
      </x:c>
      <x:c r="D58" s="77" t="str">
        <x:v>غير محلل بعد — يبدأ من UNKNOWN</x:v>
      </x:c>
      <x:c r="E58" s="77" t="str">
        <x:v>لا يملأ قبل التحليل الأعمى</x:v>
      </x:c>
      <x:c r="F58" s="77" t="str">
        <x:v>لا يملأ قبل التحليل الأعمى
التطبيقات الموضعية: تُستخرج بعد فصل Root Core عن الصيغة والتركيب والسياق</x:v>
      </x:c>
      <x:c r="G58" s="77" t="str">
        <x:v>لا يملأ قبل دليل سلبي حاسم</x:v>
      </x:c>
      <x:c r="H58" s="77" t="str">
        <x:v>Root Core والحدود الدلالية كاملة</x:v>
      </x:c>
      <x:c r="I58" s="77" t="str">
        <x:v>2:27؛ 13:21؛ 28:51؛ 4:90</x:v>
      </x:c>
      <x:c r="J58" s="77" t="str">
        <x:v>قطع، جمع، ربط</x:v>
      </x:c>
      <x:c r="K58" s="77" t="str">
        <x:v>غير متاح</x:v>
      </x:c>
      <x:c r="L58" s="77" t="str">
        <x:v>Blind Discovery → Falsification → Lexical Differentiation → LOCK</x:v>
      </x:c>
      <x:c r="M58" s="77" t="str">
        <x:v>100% من جميع المواضع</x:v>
      </x:c>
      <x:c r="N58" s="77" t="str">
        <x:v>https://corpus.quran.com/qurandictionary.jsp?q=wSl</x:v>
      </x:c>
    </x:row>
    <x:row r="59">
      <x:c r="A59" s="77" t="n">
        <x:v>53</x:v>
      </x:c>
      <x:c r="B59" s="77" t="str">
        <x:v>ع ق د</x:v>
      </x:c>
      <x:c r="C59" s="77" t="str">
        <x:v>NOT_STARTED</x:v>
      </x:c>
      <x:c r="D59" s="77" t="str">
        <x:v>غير محلل بعد — يبدأ من UNKNOWN</x:v>
      </x:c>
      <x:c r="E59" s="77" t="str">
        <x:v>لا يملأ قبل التحليل الأعمى</x:v>
      </x:c>
      <x:c r="F59" s="77" t="str">
        <x:v>لا يملأ قبل التحليل الأعمى
التطبيقات الموضعية: تُستخرج بعد فصل Root Core عن الصيغة والتركيب والسياق</x:v>
      </x:c>
      <x:c r="G59" s="77" t="str">
        <x:v>لا يملأ قبل دليل سلبي حاسم</x:v>
      </x:c>
      <x:c r="H59" s="77" t="str">
        <x:v>Root Core والحدود الدلالية كاملة</x:v>
      </x:c>
      <x:c r="I59" s="77" t="str">
        <x:v>5:1؛ 2:235؛ 113:4؛ 20:27</x:v>
      </x:c>
      <x:c r="J59" s="77" t="str">
        <x:v>ربط، كتب، وصل</x:v>
      </x:c>
      <x:c r="K59" s="77" t="str">
        <x:v>غير متاح</x:v>
      </x:c>
      <x:c r="L59" s="77" t="str">
        <x:v>Blind Discovery → Falsification → Lexical Differentiation → LOCK</x:v>
      </x:c>
      <x:c r="M59" s="77" t="str">
        <x:v>100% من جميع المواضع</x:v>
      </x:c>
      <x:c r="N59" s="77" t="str">
        <x:v>https://corpus.quran.com/qurandictionary.jsp?q=Eqd</x:v>
      </x:c>
    </x:row>
    <x:row r="60">
      <x:c r="A60" s="77" t="n">
        <x:v>54</x:v>
      </x:c>
      <x:c r="B60" s="77" t="str">
        <x:v>ر ب ط</x:v>
      </x:c>
      <x:c r="C60" s="77" t="str">
        <x:v>NOT_STARTED</x:v>
      </x:c>
      <x:c r="D60" s="77" t="str">
        <x:v>غير محلل بعد — يبدأ من UNKNOWN</x:v>
      </x:c>
      <x:c r="E60" s="77" t="str">
        <x:v>لا يملأ قبل التحليل الأعمى</x:v>
      </x:c>
      <x:c r="F60" s="77" t="str">
        <x:v>لا يملأ قبل التحليل الأعمى
التطبيقات الموضعية: تُستخرج بعد فصل Root Core عن الصيغة والتركيب والسياق</x:v>
      </x:c>
      <x:c r="G60" s="77" t="str">
        <x:v>لا يملأ قبل دليل سلبي حاسم</x:v>
      </x:c>
      <x:c r="H60" s="77" t="str">
        <x:v>Root Core والحدود الدلالية كاملة</x:v>
      </x:c>
      <x:c r="I60" s="77" t="str">
        <x:v>18:14؛ 8:11؛ 28:10؛ 3:200</x:v>
      </x:c>
      <x:c r="J60" s="77" t="str">
        <x:v>عقد، وصل، ألف، جمع</x:v>
      </x:c>
      <x:c r="K60" s="77" t="str">
        <x:v>غير متاح</x:v>
      </x:c>
      <x:c r="L60" s="77" t="str">
        <x:v>Blind Discovery → Falsification → Lexical Differentiation → LOCK</x:v>
      </x:c>
      <x:c r="M60" s="77" t="str">
        <x:v>100% من جميع المواضع</x:v>
      </x:c>
      <x:c r="N60" s="77" t="str">
        <x:v>https://corpus.quran.com/qurandictionary.jsp?q=rbT</x:v>
      </x:c>
    </x:row>
    <x:row r="61">
      <x:c r="A61" s="77" t="n">
        <x:v>55</x:v>
      </x:c>
      <x:c r="B61" s="77" t="str">
        <x:v>ر ق م</x:v>
      </x:c>
      <x:c r="C61" s="77" t="str">
        <x:v>NOT_STARTED</x:v>
      </x:c>
      <x:c r="D61" s="77" t="str">
        <x:v>غير محلل بعد — يبدأ من UNKNOWN</x:v>
      </x:c>
      <x:c r="E61" s="77" t="str">
        <x:v>لا يملأ قبل التحليل الأعمى</x:v>
      </x:c>
      <x:c r="F61" s="77" t="str">
        <x:v>لا يملأ قبل التحليل الأعمى
التطبيقات الموضعية: تُستخرج بعد فصل Root Core عن الصيغة والتركيب والسياق</x:v>
      </x:c>
      <x:c r="G61" s="77" t="str">
        <x:v>لا يملأ قبل دليل سلبي حاسم</x:v>
      </x:c>
      <x:c r="H61" s="77" t="str">
        <x:v>Root Core والحدود الدلالية كاملة</x:v>
      </x:c>
      <x:c r="I61" s="77" t="str">
        <x:v>83:9؛ 83:20؛ 18:9</x:v>
      </x:c>
      <x:c r="J61" s="77" t="str">
        <x:v>كتب، سطر، خطط</x:v>
      </x:c>
      <x:c r="K61" s="77" t="str">
        <x:v>غير متاح</x:v>
      </x:c>
      <x:c r="L61" s="77" t="str">
        <x:v>Blind Discovery → Falsification → Lexical Differentiation → LOCK</x:v>
      </x:c>
      <x:c r="M61" s="77" t="str">
        <x:v>100% من جميع المواضع</x:v>
      </x:c>
      <x:c r="N61" s="77" t="str">
        <x:v>https://corpus.quran.com/qurandictionary.jsp?q=rqm</x:v>
      </x:c>
    </x:row>
    <x:row r="62">
      <x:c r="A62" s="77" t="n">
        <x:v>56</x:v>
      </x:c>
      <x:c r="B62" s="77" t="str">
        <x:v>ض م م</x:v>
      </x:c>
      <x:c r="C62" s="77" t="str">
        <x:v>NOT_STARTED</x:v>
      </x:c>
      <x:c r="D62" s="77" t="str">
        <x:v>غير محلل بعد — يبدأ من UNKNOWN</x:v>
      </x:c>
      <x:c r="E62" s="77" t="str">
        <x:v>لا يملأ قبل التحليل الأعمى</x:v>
      </x:c>
      <x:c r="F62" s="77" t="str">
        <x:v>لا يملأ قبل التحليل الأعمى
التطبيقات الموضعية: تُستخرج بعد فصل Root Core عن الصيغة والتركيب والسياق</x:v>
      </x:c>
      <x:c r="G62" s="77" t="str">
        <x:v>لا يملأ قبل دليل سلبي حاسم</x:v>
      </x:c>
      <x:c r="H62" s="77" t="str">
        <x:v>Root Core والحدود الدلالية كاملة</x:v>
      </x:c>
      <x:c r="I62" s="77" t="str">
        <x:v>20:22؛ 28:32</x:v>
      </x:c>
      <x:c r="J62" s="77" t="str">
        <x:v>جمع، قرب، ربط</x:v>
      </x:c>
      <x:c r="K62" s="77" t="str">
        <x:v>غير متاح</x:v>
      </x:c>
      <x:c r="L62" s="77" t="str">
        <x:v>Blind Discovery → Falsification → Lexical Differentiation → LOCK</x:v>
      </x:c>
      <x:c r="M62" s="77" t="str">
        <x:v>100% من جميع المواضع</x:v>
      </x:c>
      <x:c r="N62" s="77" t="str">
        <x:v>https://corpus.quran.com/qurandictionary.jsp?q=Dmm</x:v>
      </x:c>
    </x:row>
    <x:row r="63">
      <x:c r="A63" s="77" t="n">
        <x:v>57</x:v>
      </x:c>
      <x:c r="B63" s="77" t="str">
        <x:v>خ ط ط</x:v>
      </x:c>
      <x:c r="C63" s="77" t="str">
        <x:v>NOT_STARTED</x:v>
      </x:c>
      <x:c r="D63" s="77" t="str">
        <x:v>غير محلل بعد — يبدأ من UNKNOWN</x:v>
      </x:c>
      <x:c r="E63" s="77" t="str">
        <x:v>لا يملأ قبل التحليل الأعمى</x:v>
      </x:c>
      <x:c r="F63" s="77" t="str">
        <x:v>لا يملأ قبل التحليل الأعمى
التطبيقات الموضعية: تُستخرج بعد فصل Root Core عن الصيغة والتركيب والسياق</x:v>
      </x:c>
      <x:c r="G63" s="77" t="str">
        <x:v>لا يملأ قبل دليل سلبي حاسم</x:v>
      </x:c>
      <x:c r="H63" s="77" t="str">
        <x:v>Root Core والحدود الدلالية كاملة</x:v>
      </x:c>
      <x:c r="I63" s="77" t="str">
        <x:v>29:48</x:v>
      </x:c>
      <x:c r="J63" s="77" t="str">
        <x:v>كتب، سطر، رقم</x:v>
      </x:c>
      <x:c r="K63" s="77" t="str">
        <x:v>غير متاح</x:v>
      </x:c>
      <x:c r="L63" s="77" t="str">
        <x:v>Blind Discovery → Falsification → Lexical Differentiation → LOCK</x:v>
      </x:c>
      <x:c r="M63" s="77" t="str">
        <x:v>100% من جميع المواضع</x:v>
      </x:c>
      <x:c r="N63" s="77" t="str">
        <x:v>https://corpus.quran.com/qurandictionary.jsp?q=xTT</x:v>
      </x:c>
    </x:row>
  </x:sheetData>
  <x:mergeCells>
    <x:mergeCell ref="A1:N2"/>
    <x:mergeCell ref="A3:N4"/>
  </x:mergeCells>
  <x:pageMargins left="0.7" right="0.7" top="0.75" bottom="0.75" header="0.3" footer="0.3"/>
  <x:tableParts count="1">
    <x:tablePart xmlns:r="http://schemas.openxmlformats.org/officeDocument/2006/relationships" r:id="Rf0acd9d8973c4b15"/>
  </x:tableParts>
</x:worksheet>
</file>

<file path=xl/worksheets/sheet4.xml><?xml version="1.0" encoding="utf-8"?>
<x:worksheet xmlns:x="http://schemas.openxmlformats.org/spreadsheetml/2006/main">
  <x:sheetFormatPr defaultRowHeight="15"/>
  <x:cols>
    <x:col min="1" max="1" width="18" hidden="0" customWidth="1"/>
    <x:col min="2" max="2" width="30" hidden="0" customWidth="1"/>
    <x:col min="3" max="3" width="24" hidden="0" customWidth="1"/>
    <x:col min="4" max="4" width="12" hidden="0" customWidth="1"/>
    <x:col min="5" max="5" width="15" hidden="0" customWidth="1"/>
    <x:col min="6" max="6" width="10" hidden="0" customWidth="1"/>
    <x:col min="7" max="7" width="15" hidden="0" customWidth="1"/>
    <x:col min="8" max="8" width="17" hidden="0" customWidth="1"/>
    <x:col min="9" max="9" width="45" hidden="0" customWidth="1"/>
    <x:col min="10" max="10" width="26" hidden="0" customWidth="1"/>
    <x:col min="11" max="11" width="42" hidden="0" customWidth="1"/>
    <x:col min="12" max="12" width="42" hidden="0" customWidth="1"/>
  </x:cols>
  <x:sheetData>
    <x:row r="1">
      <x:c r="A1" s="6" t="str">
        <x:v>المشتقات واللمم والصيغ البنيوية للجذور المختارة</x:v>
      </x:c>
      <x:c r="B1" s="6"/>
      <x:c r="C1" s="6"/>
      <x:c r="D1" s="6"/>
      <x:c r="E1" s="6"/>
      <x:c r="F1" s="6"/>
      <x:c r="G1" s="6"/>
      <x:c r="H1" s="6"/>
      <x:c r="I1" s="6"/>
      <x:c r="J1" s="6"/>
      <x:c r="K1" s="6"/>
      <x:c r="L1" s="6"/>
    </x:row>
    <x:row r="2">
      <x:c r="A2" s="6"/>
      <x:c r="B2" s="6"/>
      <x:c r="C2" s="6"/>
      <x:c r="D2" s="6"/>
      <x:c r="E2" s="6"/>
      <x:c r="F2" s="6"/>
      <x:c r="G2" s="6"/>
      <x:c r="H2" s="6"/>
      <x:c r="I2" s="6"/>
      <x:c r="J2" s="6"/>
      <x:c r="K2" s="6"/>
      <x:c r="L2" s="6"/>
    </x:row>
    <x:row r="3">
      <x:c r="A3" s="16" t="str">
        <x:v>عدد اللمم والصور هنا توصيف بنيوي مستخرج آليًا من corpus، ولا يثبت بذاته وحدة دلالية أو معنى الصيغة. يُستخدم هذا الجدول لبناء Corpus الجذر واختبارات CROSS-DERIVATION وMORPHOLOGICAL OPERATOR INVARIANCE.</x:v>
      </x:c>
      <x:c r="B3" s="16"/>
      <x:c r="C3" s="16"/>
      <x:c r="D3" s="16"/>
      <x:c r="E3" s="16"/>
      <x:c r="F3" s="16"/>
      <x:c r="G3" s="16"/>
      <x:c r="H3" s="16"/>
      <x:c r="I3" s="16"/>
      <x:c r="J3" s="16"/>
      <x:c r="K3" s="16"/>
      <x:c r="L3" s="16"/>
    </x:row>
    <x:row r="4">
      <x:c r="A4" s="16"/>
      <x:c r="B4" s="16"/>
      <x:c r="C4" s="16"/>
      <x:c r="D4" s="16"/>
      <x:c r="E4" s="16"/>
      <x:c r="F4" s="16"/>
      <x:c r="G4" s="16"/>
      <x:c r="H4" s="16"/>
      <x:c r="I4" s="16"/>
      <x:c r="J4" s="16"/>
      <x:c r="K4" s="16"/>
      <x:c r="L4" s="16"/>
    </x:row>
    <x:row r="6">
      <x:c r="A6" s="26" t="str">
        <x:v>الجذر</x:v>
      </x:c>
      <x:c r="B6" s="26" t="str">
        <x:v>المرحلة</x:v>
      </x:c>
      <x:c r="C6" s="26" t="str">
        <x:v>اللمة/المشتق</x:v>
      </x:c>
      <x:c r="D6" s="26" t="str">
        <x:v>عدد الورود</x:v>
      </x:c>
      <x:c r="E6" s="26" t="str">
        <x:v>نوع الكلمة</x:v>
      </x:c>
      <x:c r="F6" s="26" t="str">
        <x:v>POS</x:v>
      </x:c>
      <x:c r="G6" s="26" t="str">
        <x:v>أوزان الفعل</x:v>
      </x:c>
      <x:c r="H6" s="26" t="str">
        <x:v>عدد الصور السطحية</x:v>
      </x:c>
      <x:c r="I6" s="26" t="str">
        <x:v>أمثلة صور</x:v>
      </x:c>
      <x:c r="J6" s="26" t="str">
        <x:v>مراجع أمثلة</x:v>
      </x:c>
      <x:c r="K6" s="26" t="str">
        <x:v>حالة التحليل</x:v>
      </x:c>
      <x:c r="L6" s="26" t="str">
        <x:v>المصدر</x:v>
      </x:c>
    </x:row>
    <x:row r="7">
      <x:c r="A7" s="60" t="str">
        <x:v>ك ت ب</x:v>
      </x:c>
      <x:c r="B7" s="60" t="str">
        <x:v>P0 — تعريف مرجعي قائم</x:v>
      </x:c>
      <x:c r="C7" s="60" t="str">
        <x:v>كِتاب</x:v>
      </x:c>
      <x:c r="D7" s="62" t="n">
        <x:v>260</x:v>
      </x:c>
      <x:c r="E7" s="60" t="str">
        <x:v>اسم</x:v>
      </x:c>
      <x:c r="F7" s="60" t="str">
        <x:v>N</x:v>
      </x:c>
      <x:c r="G7" s="60" t="str">
        <x:v>—</x:v>
      </x:c>
      <x:c r="H7" s="62" t="n">
        <x:v>31</x:v>
      </x:c>
      <x:c r="I7" s="60" t="str">
        <x:v>ٱلْكِتَٰبَ، ٱلْكِتَٰبِ، كِتَٰبٌ، كِتَٰبٍ، كِتَٰبًا</x:v>
      </x:c>
      <x:c r="J7" s="60" t="str">
        <x:v>2:2:2؛ 2:44:8؛ 2:53:4؛ 2:78:5</x:v>
      </x:c>
      <x:c r="K7" s="60" t="str">
        <x:v>مرشح بنيوي؛ لا تُستنتج الدلالة من اللمة وحدها</x:v>
      </x:c>
      <x:c r="L7" s="60" t="str">
        <x:v>https://corpus.quran.com/qurandictionary.jsp?q=ktb</x:v>
      </x:c>
    </x:row>
    <x:row r="8">
      <x:c r="A8" s="60" t="str">
        <x:v>ك ت ب</x:v>
      </x:c>
      <x:c r="B8" s="60" t="str">
        <x:v>P0 — تعريف مرجعي قائم</x:v>
      </x:c>
      <x:c r="C8" s="60" t="str">
        <x:v>كَتَبَ</x:v>
      </x:c>
      <x:c r="D8" s="62" t="n">
        <x:v>49</x:v>
      </x:c>
      <x:c r="E8" s="60" t="str">
        <x:v>فعل</x:v>
      </x:c>
      <x:c r="F8" s="60" t="str">
        <x:v>V</x:v>
      </x:c>
      <x:c r="G8" s="60" t="str">
        <x:v>1</x:v>
      </x:c>
      <x:c r="H8" s="62" t="n">
        <x:v>21</x:v>
      </x:c>
      <x:c r="I8" s="60" t="str">
        <x:v>كُتِبَ، كَتَبَ، يَكْتُبُونَ، كَتَبْنَا، فَٱكْتُبْنَا</x:v>
      </x:c>
      <x:c r="J8" s="60" t="str">
        <x:v>2:79:3؛ 2:79:19؛ 2:178:4؛ 2:180:1</x:v>
      </x:c>
      <x:c r="K8" s="60" t="str">
        <x:v>مرشح بنيوي؛ لا تُستنتج الدلالة من اللمة وحدها</x:v>
      </x:c>
      <x:c r="L8" s="60" t="str">
        <x:v>https://corpus.quran.com/qurandictionary.jsp?q=ktb</x:v>
      </x:c>
    </x:row>
    <x:row r="9">
      <x:c r="A9" s="60" t="str">
        <x:v>ك ت ب</x:v>
      </x:c>
      <x:c r="B9" s="60" t="str">
        <x:v>P0 — تعريف مرجعي قائم</x:v>
      </x:c>
      <x:c r="C9" s="60" t="str">
        <x:v>كاتِب</x:v>
      </x:c>
      <x:c r="D9" s="62" t="n">
        <x:v>6</x:v>
      </x:c>
      <x:c r="E9" s="60" t="str">
        <x:v>اسم</x:v>
      </x:c>
      <x:c r="F9" s="60" t="str">
        <x:v>N</x:v>
      </x:c>
      <x:c r="G9" s="60" t="str">
        <x:v>1</x:v>
      </x:c>
      <x:c r="H9" s="62" t="n">
        <x:v>5</x:v>
      </x:c>
      <x:c r="I9" s="60" t="str">
        <x:v>كَاتِبٌ، كَاتِبٌۢ، كَاتِبًا، كَٰتِبُونَ، كَٰتِبِينَ</x:v>
      </x:c>
      <x:c r="J9" s="60" t="str">
        <x:v>2:282:13؛ 2:282:17؛ 2:282:113؛ 2:283:7</x:v>
      </x:c>
      <x:c r="K9" s="60" t="str">
        <x:v>مرشح بنيوي؛ لا تُستنتج الدلالة من اللمة وحدها</x:v>
      </x:c>
      <x:c r="L9" s="60" t="str">
        <x:v>https://corpus.quran.com/qurandictionary.jsp?q=ktb</x:v>
      </x:c>
    </x:row>
    <x:row r="10">
      <x:c r="A10" s="60" t="str">
        <x:v>ك ت ب</x:v>
      </x:c>
      <x:c r="B10" s="60" t="str">
        <x:v>P0 — تعريف مرجعي قائم</x:v>
      </x:c>
      <x:c r="C10" s="60" t="str">
        <x:v>اكْتَتَبَ</x:v>
      </x:c>
      <x:c r="D10" s="62" t="n">
        <x:v>1</x:v>
      </x:c>
      <x:c r="E10" s="60" t="str">
        <x:v>فعل</x:v>
      </x:c>
      <x:c r="F10" s="60" t="str">
        <x:v>V</x:v>
      </x:c>
      <x:c r="G10" s="60" t="str">
        <x:v>8</x:v>
      </x:c>
      <x:c r="H10" s="62" t="n">
        <x:v>1</x:v>
      </x:c>
      <x:c r="I10" s="60" t="str">
        <x:v>ٱكْتَتَبَهَا</x:v>
      </x:c>
      <x:c r="J10" s="60" t="str">
        <x:v>25:5:4</x:v>
      </x:c>
      <x:c r="K10" s="60" t="str">
        <x:v>مرشح بنيوي؛ لا تُستنتج الدلالة من اللمة وحدها</x:v>
      </x:c>
      <x:c r="L10" s="60" t="str">
        <x:v>https://corpus.quran.com/qurandictionary.jsp?q=ktb</x:v>
      </x:c>
    </x:row>
    <x:row r="11">
      <x:c r="A11" s="60" t="str">
        <x:v>ك ت ب</x:v>
      </x:c>
      <x:c r="B11" s="60" t="str">
        <x:v>P0 — تعريف مرجعي قائم</x:v>
      </x:c>
      <x:c r="C11" s="60" t="str">
        <x:v>كاتِبُ</x:v>
      </x:c>
      <x:c r="D11" s="62" t="n">
        <x:v>1</x:v>
      </x:c>
      <x:c r="E11" s="60" t="str">
        <x:v>فعل</x:v>
      </x:c>
      <x:c r="F11" s="60" t="str">
        <x:v>V</x:v>
      </x:c>
      <x:c r="G11" s="60" t="str">
        <x:v>3</x:v>
      </x:c>
      <x:c r="H11" s="62" t="n">
        <x:v>1</x:v>
      </x:c>
      <x:c r="I11" s="60" t="str">
        <x:v>فَكَاتِبُوهُمْ</x:v>
      </x:c>
      <x:c r="J11" s="60" t="str">
        <x:v>24:33:17</x:v>
      </x:c>
      <x:c r="K11" s="60" t="str">
        <x:v>مرشح بنيوي؛ لا تُستنتج الدلالة من اللمة وحدها</x:v>
      </x:c>
      <x:c r="L11" s="60" t="str">
        <x:v>https://corpus.quran.com/qurandictionary.jsp?q=ktb</x:v>
      </x:c>
    </x:row>
    <x:row r="12">
      <x:c r="A12" s="60" t="str">
        <x:v>ك ت ب</x:v>
      </x:c>
      <x:c r="B12" s="60" t="str">
        <x:v>P0 — تعريف مرجعي قائم</x:v>
      </x:c>
      <x:c r="C12" s="60" t="str">
        <x:v>كِتابِي</x:v>
      </x:c>
      <x:c r="D12" s="62" t="n">
        <x:v>1</x:v>
      </x:c>
      <x:c r="E12" s="60" t="str">
        <x:v>اسم</x:v>
      </x:c>
      <x:c r="F12" s="60" t="str">
        <x:v>N</x:v>
      </x:c>
      <x:c r="G12" s="60" t="str">
        <x:v>—</x:v>
      </x:c>
      <x:c r="H12" s="62" t="n">
        <x:v>1</x:v>
      </x:c>
      <x:c r="I12" s="60" t="str">
        <x:v>بِّكِتَٰبِى</x:v>
      </x:c>
      <x:c r="J12" s="60" t="str">
        <x:v>27:28:2</x:v>
      </x:c>
      <x:c r="K12" s="60" t="str">
        <x:v>مرشح بنيوي؛ لا تُستنتج الدلالة من اللمة وحدها</x:v>
      </x:c>
      <x:c r="L12" s="60" t="str">
        <x:v>https://corpus.quran.com/qurandictionary.jsp?q=ktb</x:v>
      </x:c>
    </x:row>
    <x:row r="13">
      <x:c r="A13" s="60" t="str">
        <x:v>ك ت ب</x:v>
      </x:c>
      <x:c r="B13" s="60" t="str">
        <x:v>P0 — تعريف مرجعي قائم</x:v>
      </x:c>
      <x:c r="C13" s="60" t="str">
        <x:v>مَكْتُوب</x:v>
      </x:c>
      <x:c r="D13" s="62" t="n">
        <x:v>1</x:v>
      </x:c>
      <x:c r="E13" s="60" t="str">
        <x:v>اسم</x:v>
      </x:c>
      <x:c r="F13" s="60" t="str">
        <x:v>N</x:v>
      </x:c>
      <x:c r="G13" s="60" t="str">
        <x:v>1</x:v>
      </x:c>
      <x:c r="H13" s="62" t="n">
        <x:v>1</x:v>
      </x:c>
      <x:c r="I13" s="60" t="str">
        <x:v>مَكْتُوبًا</x:v>
      </x:c>
      <x:c r="J13" s="60" t="str">
        <x:v>7:157:8</x:v>
      </x:c>
      <x:c r="K13" s="60" t="str">
        <x:v>مرشح بنيوي؛ لا تُستنتج الدلالة من اللمة وحدها</x:v>
      </x:c>
      <x:c r="L13" s="60" t="str">
        <x:v>https://corpus.quran.com/qurandictionary.jsp?q=ktb</x:v>
      </x:c>
    </x:row>
    <x:row r="14">
      <x:c r="A14" s="60" t="str">
        <x:v>ن ش ز</x:v>
      </x:c>
      <x:c r="B14" s="60" t="str">
        <x:v>P0 — تعريف مرجعي قائم</x:v>
      </x:c>
      <x:c r="C14" s="60" t="str">
        <x:v>انشُزُ</x:v>
      </x:c>
      <x:c r="D14" s="62" t="n">
        <x:v>2</x:v>
      </x:c>
      <x:c r="E14" s="60" t="str">
        <x:v>فعل</x:v>
      </x:c>
      <x:c r="F14" s="60" t="str">
        <x:v>V</x:v>
      </x:c>
      <x:c r="G14" s="60" t="str">
        <x:v>1</x:v>
      </x:c>
      <x:c r="H14" s="62" t="n">
        <x:v>2</x:v>
      </x:c>
      <x:c r="I14" s="60" t="str">
        <x:v>ٱنشُزُوا۟، فَٱنشُزُوا۟</x:v>
      </x:c>
      <x:c r="J14" s="60" t="str">
        <x:v>58:11:16؛ 58:11:17</x:v>
      </x:c>
      <x:c r="K14" s="60" t="str">
        <x:v>مرشح بنيوي؛ لا تُستنتج الدلالة من اللمة وحدها</x:v>
      </x:c>
      <x:c r="L14" s="60" t="str">
        <x:v>https://corpus.quran.com/qurandictionary.jsp?q=n%24z</x:v>
      </x:c>
    </x:row>
    <x:row r="15">
      <x:c r="A15" s="60" t="str">
        <x:v>ن ش ز</x:v>
      </x:c>
      <x:c r="B15" s="60" t="str">
        <x:v>P0 — تعريف مرجعي قائم</x:v>
      </x:c>
      <x:c r="C15" s="60" t="str">
        <x:v>نُشُوز</x:v>
      </x:c>
      <x:c r="D15" s="62" t="n">
        <x:v>2</x:v>
      </x:c>
      <x:c r="E15" s="60" t="str">
        <x:v>اسم</x:v>
      </x:c>
      <x:c r="F15" s="60" t="str">
        <x:v>N</x:v>
      </x:c>
      <x:c r="G15" s="60" t="str">
        <x:v>—</x:v>
      </x:c>
      <x:c r="H15" s="62" t="n">
        <x:v>2</x:v>
      </x:c>
      <x:c r="I15" s="60" t="str">
        <x:v>نُشُوزَهُنَّ، نُشُوزًا</x:v>
      </x:c>
      <x:c r="J15" s="60" t="str">
        <x:v>4:34:24؛ 4:128:6</x:v>
      </x:c>
      <x:c r="K15" s="60" t="str">
        <x:v>مرشح بنيوي؛ لا تُستنتج الدلالة من اللمة وحدها</x:v>
      </x:c>
      <x:c r="L15" s="60" t="str">
        <x:v>https://corpus.quran.com/qurandictionary.jsp?q=n%24z</x:v>
      </x:c>
    </x:row>
    <x:row r="16">
      <x:c r="A16" s="60" t="str">
        <x:v>ن ش ز</x:v>
      </x:c>
      <x:c r="B16" s="60" t="str">
        <x:v>P0 — تعريف مرجعي قائم</x:v>
      </x:c>
      <x:c r="C16" s="60" t="str">
        <x:v>نُنشِزُ</x:v>
      </x:c>
      <x:c r="D16" s="62" t="n">
        <x:v>1</x:v>
      </x:c>
      <x:c r="E16" s="60" t="str">
        <x:v>فعل</x:v>
      </x:c>
      <x:c r="F16" s="60" t="str">
        <x:v>V</x:v>
      </x:c>
      <x:c r="G16" s="60" t="str">
        <x:v>4</x:v>
      </x:c>
      <x:c r="H16" s="62" t="n">
        <x:v>1</x:v>
      </x:c>
      <x:c r="I16" s="60" t="str">
        <x:v>نُنشِزُهَا</x:v>
      </x:c>
      <x:c r="J16" s="60" t="str">
        <x:v>2:259:53</x:v>
      </x:c>
      <x:c r="K16" s="60" t="str">
        <x:v>مرشح بنيوي؛ لا تُستنتج الدلالة من اللمة وحدها</x:v>
      </x:c>
      <x:c r="L16" s="60" t="str">
        <x:v>https://corpus.quran.com/qurandictionary.jsp?q=n%24z</x:v>
      </x:c>
    </x:row>
    <x:row r="17">
      <x:c r="A17" s="60" t="str">
        <x:v>أ م ن</x:v>
      </x:c>
      <x:c r="B17" s="60" t="str">
        <x:v>P1 — أصول تأسيسية عالية الأثر</x:v>
      </x:c>
      <x:c r="C17" s="60" t="str">
        <x:v>آمَنَ</x:v>
      </x:c>
      <x:c r="D17" s="62" t="n">
        <x:v>537</x:v>
      </x:c>
      <x:c r="E17" s="60" t="str">
        <x:v>فعل</x:v>
      </x:c>
      <x:c r="F17" s="60" t="str">
        <x:v>V</x:v>
      </x:c>
      <x:c r="G17" s="60" t="str">
        <x:v>4</x:v>
      </x:c>
      <x:c r="H17" s="62" t="n">
        <x:v>56</x:v>
      </x:c>
      <x:c r="I17" s="60" t="str">
        <x:v>ءَامَنُوا۟، يُؤْمِنُونَ، ءَامَنُوٓا۟، ءَامَنَّا، ءَامَنَ</x:v>
      </x:c>
      <x:c r="J17" s="60" t="str">
        <x:v>2:3:2؛ 2:4:2؛ 2:6:11؛ 2:8:5</x:v>
      </x:c>
      <x:c r="K17" s="60" t="str">
        <x:v>مرشح بنيوي؛ لا تُستنتج الدلالة من اللمة وحدها</x:v>
      </x:c>
      <x:c r="L17" s="60" t="str">
        <x:v>https://corpus.quran.com/qurandictionary.jsp?q=Amn</x:v>
      </x:c>
    </x:row>
    <x:row r="18">
      <x:c r="A18" s="60" t="str">
        <x:v>أ م ن</x:v>
      </x:c>
      <x:c r="B18" s="60" t="str">
        <x:v>P1 — أصول تأسيسية عالية الأثر</x:v>
      </x:c>
      <x:c r="C18" s="60" t="str">
        <x:v>مُؤْمِن</x:v>
      </x:c>
      <x:c r="D18" s="62" t="n">
        <x:v>202</x:v>
      </x:c>
      <x:c r="E18" s="60" t="str">
        <x:v>اسم</x:v>
      </x:c>
      <x:c r="F18" s="60" t="str">
        <x:v>N</x:v>
      </x:c>
      <x:c r="G18" s="60" t="str">
        <x:v>4</x:v>
      </x:c>
      <x:c r="H18" s="62" t="n">
        <x:v>22</x:v>
      </x:c>
      <x:c r="I18" s="60" t="str">
        <x:v>ٱلْمُؤْمِنِينَ، مُّؤْمِنِينَ، ٱلْمُؤْمِنُونَ، مُؤْمِنِينَ، لِّلْمُؤْمِنِينَ</x:v>
      </x:c>
      <x:c r="J18" s="60" t="str">
        <x:v>2:8:11؛ 2:91:30؛ 2:93:27؛ 2:97:18</x:v>
      </x:c>
      <x:c r="K18" s="60" t="str">
        <x:v>مرشح بنيوي؛ لا تُستنتج الدلالة من اللمة وحدها</x:v>
      </x:c>
      <x:c r="L18" s="60" t="str">
        <x:v>https://corpus.quran.com/qurandictionary.jsp?q=Amn</x:v>
      </x:c>
    </x:row>
    <x:row r="19">
      <x:c r="A19" s="60" t="str">
        <x:v>أ م ن</x:v>
      </x:c>
      <x:c r="B19" s="60" t="str">
        <x:v>P1 — أصول تأسيسية عالية الأثر</x:v>
      </x:c>
      <x:c r="C19" s="60" t="str">
        <x:v>إِيمان</x:v>
      </x:c>
      <x:c r="D19" s="62" t="n">
        <x:v>45</x:v>
      </x:c>
      <x:c r="E19" s="60" t="str">
        <x:v>اسم</x:v>
      </x:c>
      <x:c r="F19" s="60" t="str">
        <x:v>N</x:v>
      </x:c>
      <x:c r="G19" s="60" t="str">
        <x:v>4</x:v>
      </x:c>
      <x:c r="H19" s="62" t="n">
        <x:v>22</x:v>
      </x:c>
      <x:c r="I19" s="60" t="str">
        <x:v>إِيمَٰنًا، بِٱلْإِيمَٰنِ، إِيمَٰنِكُمْ، إِيمَٰنِهِمْ، لِلْإِيمَٰنِ</x:v>
      </x:c>
      <x:c r="J19" s="60" t="str">
        <x:v>2:93:24؛ 2:108:14؛ 2:109:10؛ 2:143:40</x:v>
      </x:c>
      <x:c r="K19" s="60" t="str">
        <x:v>مرشح بنيوي؛ لا تُستنتج الدلالة من اللمة وحدها</x:v>
      </x:c>
      <x:c r="L19" s="60" t="str">
        <x:v>https://corpus.quran.com/qurandictionary.jsp?q=Amn</x:v>
      </x:c>
    </x:row>
    <x:row r="20">
      <x:c r="A20" s="60" t="str">
        <x:v>أ م ن</x:v>
      </x:c>
      <x:c r="B20" s="60" t="str">
        <x:v>P1 — أصول تأسيسية عالية الأثر</x:v>
      </x:c>
      <x:c r="C20" s="60" t="str">
        <x:v>مُؤْمِنَة</x:v>
      </x:c>
      <x:c r="D20" s="62" t="n">
        <x:v>28</x:v>
      </x:c>
      <x:c r="E20" s="60" t="str">
        <x:v>اسم</x:v>
      </x:c>
      <x:c r="F20" s="60" t="str">
        <x:v>N</x:v>
      </x:c>
      <x:c r="G20" s="60" t="str">
        <x:v>4</x:v>
      </x:c>
      <x:c r="H20" s="62" t="n">
        <x:v>12</x:v>
      </x:c>
      <x:c r="I20" s="60" t="str">
        <x:v>وَٱلْمُؤْمِنَٰتِ، ٱلْمُؤْمِنَٰتِ، مُّؤْمِنَةٍ، وَٱلْمُؤْمِنَٰتُ، ٱلْمُؤْمِنَٰتُ</x:v>
      </x:c>
      <x:c r="J20" s="60" t="str">
        <x:v>2:221:7؛ 4:25:9؛ 4:25:16؛ 4:92:15</x:v>
      </x:c>
      <x:c r="K20" s="60" t="str">
        <x:v>مرشح بنيوي؛ لا تُستنتج الدلالة من اللمة وحدها</x:v>
      </x:c>
      <x:c r="L20" s="60" t="str">
        <x:v>https://corpus.quran.com/qurandictionary.jsp?q=Amn</x:v>
      </x:c>
    </x:row>
    <x:row r="21">
      <x:c r="A21" s="60" t="str">
        <x:v>أ م ن</x:v>
      </x:c>
      <x:c r="B21" s="60" t="str">
        <x:v>P1 — أصول تأسيسية عالية الأثر</x:v>
      </x:c>
      <x:c r="C21" s="60" t="str">
        <x:v>أَمِنَ</x:v>
      </x:c>
      <x:c r="D21" s="62" t="n">
        <x:v>20</x:v>
      </x:c>
      <x:c r="E21" s="60" t="str">
        <x:v>فعل</x:v>
      </x:c>
      <x:c r="F21" s="60" t="str">
        <x:v>V</x:v>
      </x:c>
      <x:c r="G21" s="60" t="str">
        <x:v>1</x:v>
      </x:c>
      <x:c r="H21" s="62" t="n">
        <x:v>16</x:v>
      </x:c>
      <x:c r="I21" s="60" t="str">
        <x:v>أَمِنتُمْ، تَأْمَنْهُ، أَفَأَمِنَ، أَمِنَ، يَأْمَنُوكُمْ</x:v>
      </x:c>
      <x:c r="J21" s="60" t="str">
        <x:v>2:196:35؛ 2:239:7؛ 2:283:11؛ 3:75:6</x:v>
      </x:c>
      <x:c r="K21" s="60" t="str">
        <x:v>مرشح بنيوي؛ لا تُستنتج الدلالة من اللمة وحدها</x:v>
      </x:c>
      <x:c r="L21" s="60" t="str">
        <x:v>https://corpus.quran.com/qurandictionary.jsp?q=Amn</x:v>
      </x:c>
    </x:row>
    <x:row r="22">
      <x:c r="A22" s="60" t="str">
        <x:v>أ م ن</x:v>
      </x:c>
      <x:c r="B22" s="60" t="str">
        <x:v>P1 — أصول تأسيسية عالية الأثر</x:v>
      </x:c>
      <x:c r="C22" s="60" t="str">
        <x:v>آمِن</x:v>
      </x:c>
      <x:c r="D22" s="62" t="n">
        <x:v>16</x:v>
      </x:c>
      <x:c r="E22" s="60" t="str">
        <x:v>اسم</x:v>
      </x:c>
      <x:c r="F22" s="60" t="str">
        <x:v>N</x:v>
      </x:c>
      <x:c r="G22" s="60" t="str">
        <x:v>1</x:v>
      </x:c>
      <x:c r="H22" s="62" t="n">
        <x:v>4</x:v>
      </x:c>
      <x:c r="I22" s="60" t="str">
        <x:v>ءَامِنِينَ، ءَامِنًا، ءَامِنُونَ، ٱلْءَامِنِينَ</x:v>
      </x:c>
      <x:c r="J22" s="60" t="str">
        <x:v>2:126:8؛ 3:97:9؛ 12:99:14؛ 14:35:8</x:v>
      </x:c>
      <x:c r="K22" s="60" t="str">
        <x:v>مرشح بنيوي؛ لا تُستنتج الدلالة من اللمة وحدها</x:v>
      </x:c>
      <x:c r="L22" s="60" t="str">
        <x:v>https://corpus.quran.com/qurandictionary.jsp?q=Amn</x:v>
      </x:c>
    </x:row>
    <x:row r="23">
      <x:c r="A23" s="60" t="str">
        <x:v>أ م ن</x:v>
      </x:c>
      <x:c r="B23" s="60" t="str">
        <x:v>P1 — أصول تأسيسية عالية الأثر</x:v>
      </x:c>
      <x:c r="C23" s="60" t="str">
        <x:v>أَمِين</x:v>
      </x:c>
      <x:c r="D23" s="62" t="n">
        <x:v>14</x:v>
      </x:c>
      <x:c r="E23" s="60" t="str">
        <x:v>اسم</x:v>
      </x:c>
      <x:c r="F23" s="60" t="str">
        <x:v>N</x:v>
      </x:c>
      <x:c r="G23" s="60" t="str">
        <x:v>—</x:v>
      </x:c>
      <x:c r="H23" s="62" t="n">
        <x:v>4</x:v>
      </x:c>
      <x:c r="I23" s="60" t="str">
        <x:v>أَمِينٌ، ٱلْأَمِينُ، أَمِينٍ، ٱلْأَمِينِ</x:v>
      </x:c>
      <x:c r="J23" s="60" t="str">
        <x:v>7:68:7؛ 12:54:14؛ 26:107:4؛ 26:125:4</x:v>
      </x:c>
      <x:c r="K23" s="60" t="str">
        <x:v>مرشح بنيوي؛ لا تُستنتج الدلالة من اللمة وحدها</x:v>
      </x:c>
      <x:c r="L23" s="60" t="str">
        <x:v>https://corpus.quran.com/qurandictionary.jsp?q=Amn</x:v>
      </x:c>
    </x:row>
    <x:row r="24">
      <x:c r="A24" s="60" t="str">
        <x:v>أ م ن</x:v>
      </x:c>
      <x:c r="B24" s="60" t="str">
        <x:v>P1 — أصول تأسيسية عالية الأثر</x:v>
      </x:c>
      <x:c r="C24" s="60" t="str">
        <x:v>أَمْن</x:v>
      </x:c>
      <x:c r="D24" s="62" t="n">
        <x:v>5</x:v>
      </x:c>
      <x:c r="E24" s="60" t="str">
        <x:v>اسم</x:v>
      </x:c>
      <x:c r="F24" s="60" t="str">
        <x:v>N</x:v>
      </x:c>
      <x:c r="G24" s="60" t="str">
        <x:v>—</x:v>
      </x:c>
      <x:c r="H24" s="62" t="n">
        <x:v>5</x:v>
      </x:c>
      <x:c r="I24" s="60" t="str">
        <x:v>وَأَمْنًا، ٱلْأَمْنِ، بِٱلْأَمْنِ، ٱلْأَمْنُ، أَمْنًا</x:v>
      </x:c>
      <x:c r="J24" s="60" t="str">
        <x:v>2:125:6؛ 4:83:5؛ 6:81:19؛ 6:82:9</x:v>
      </x:c>
      <x:c r="K24" s="60" t="str">
        <x:v>مرشح بنيوي؛ لا تُستنتج الدلالة من اللمة وحدها</x:v>
      </x:c>
      <x:c r="L24" s="60" t="str">
        <x:v>https://corpus.quran.com/qurandictionary.jsp?q=Amn</x:v>
      </x:c>
    </x:row>
    <x:row r="25">
      <x:c r="A25" s="60" t="str">
        <x:v>أ م ن</x:v>
      </x:c>
      <x:c r="B25" s="60" t="str">
        <x:v>P1 — أصول تأسيسية عالية الأثر</x:v>
      </x:c>
      <x:c r="C25" s="60" t="str">
        <x:v>أَمانَة</x:v>
      </x:c>
      <x:c r="D25" s="62" t="n">
        <x:v>4</x:v>
      </x:c>
      <x:c r="E25" s="60" t="str">
        <x:v>اسم</x:v>
      </x:c>
      <x:c r="F25" s="60" t="str">
        <x:v>N</x:v>
      </x:c>
      <x:c r="G25" s="60" t="str">
        <x:v>—</x:v>
      </x:c>
      <x:c r="H25" s="62" t="n">
        <x:v>3</x:v>
      </x:c>
      <x:c r="I25" s="60" t="str">
        <x:v>لِأَمَٰنَٰتِهِمْ، ٱلْأَمَٰنَٰتِ، أَمَٰنَٰتِكُمْ</x:v>
      </x:c>
      <x:c r="J25" s="60" t="str">
        <x:v>4:58:6؛ 8:27:9؛ 23:8:3؛ 70:32:3</x:v>
      </x:c>
      <x:c r="K25" s="60" t="str">
        <x:v>مرشح بنيوي؛ لا تُستنتج الدلالة من اللمة وحدها</x:v>
      </x:c>
      <x:c r="L25" s="60" t="str">
        <x:v>https://corpus.quran.com/qurandictionary.jsp?q=Amn</x:v>
      </x:c>
    </x:row>
    <x:row r="26">
      <x:c r="A26" s="60" t="str">
        <x:v>أ م ن</x:v>
      </x:c>
      <x:c r="B26" s="60" t="str">
        <x:v>P1 — أصول تأسيسية عالية الأثر</x:v>
      </x:c>
      <x:c r="C26" s="60" t="str">
        <x:v>أَمانَت</x:v>
      </x:c>
      <x:c r="D26" s="62" t="n">
        <x:v>2</x:v>
      </x:c>
      <x:c r="E26" s="60" t="str">
        <x:v>اسم</x:v>
      </x:c>
      <x:c r="F26" s="60" t="str">
        <x:v>N</x:v>
      </x:c>
      <x:c r="G26" s="60" t="str">
        <x:v>—</x:v>
      </x:c>
      <x:c r="H26" s="62" t="n">
        <x:v>2</x:v>
      </x:c>
      <x:c r="I26" s="60" t="str">
        <x:v>أَمَٰنَتَهُۥ، ٱلْأَمَانَةَ</x:v>
      </x:c>
      <x:c r="J26" s="60" t="str">
        <x:v>2:283:17؛ 33:72:3</x:v>
      </x:c>
      <x:c r="K26" s="60" t="str">
        <x:v>مرشح بنيوي؛ لا تُستنتج الدلالة من اللمة وحدها</x:v>
      </x:c>
      <x:c r="L26" s="60" t="str">
        <x:v>https://corpus.quran.com/qurandictionary.jsp?q=Amn</x:v>
      </x:c>
    </x:row>
    <x:row r="27">
      <x:c r="A27" s="60" t="str">
        <x:v>أ م ن</x:v>
      </x:c>
      <x:c r="B27" s="60" t="str">
        <x:v>P1 — أصول تأسيسية عالية الأثر</x:v>
      </x:c>
      <x:c r="C27" s="60" t="str">
        <x:v>أَمَنَة</x:v>
      </x:c>
      <x:c r="D27" s="62" t="n">
        <x:v>2</x:v>
      </x:c>
      <x:c r="E27" s="60" t="str">
        <x:v>اسم</x:v>
      </x:c>
      <x:c r="F27" s="60" t="str">
        <x:v>N</x:v>
      </x:c>
      <x:c r="G27" s="60" t="str">
        <x:v>—</x:v>
      </x:c>
      <x:c r="H27" s="62" t="n">
        <x:v>1</x:v>
      </x:c>
      <x:c r="I27" s="60" t="str">
        <x:v>أَمَنَةً</x:v>
      </x:c>
      <x:c r="J27" s="60" t="str">
        <x:v>3:154:7؛ 8:11:4</x:v>
      </x:c>
      <x:c r="K27" s="60" t="str">
        <x:v>مرشح بنيوي؛ لا تُستنتج الدلالة من اللمة وحدها</x:v>
      </x:c>
      <x:c r="L27" s="60" t="str">
        <x:v>https://corpus.quran.com/qurandictionary.jsp?q=Amn</x:v>
      </x:c>
    </x:row>
    <x:row r="28">
      <x:c r="A28" s="60" t="str">
        <x:v>أ م ن</x:v>
      </x:c>
      <x:c r="B28" s="60" t="str">
        <x:v>P1 — أصول تأسيسية عالية الأثر</x:v>
      </x:c>
      <x:c r="C28" s="60" t="str">
        <x:v>آمِنَة</x:v>
      </x:c>
      <x:c r="D28" s="62" t="n">
        <x:v>1</x:v>
      </x:c>
      <x:c r="E28" s="60" t="str">
        <x:v>اسم</x:v>
      </x:c>
      <x:c r="F28" s="60" t="str">
        <x:v>N</x:v>
      </x:c>
      <x:c r="G28" s="60" t="str">
        <x:v>1</x:v>
      </x:c>
      <x:c r="H28" s="62" t="n">
        <x:v>1</x:v>
      </x:c>
      <x:c r="I28" s="60" t="str">
        <x:v>ءَامِنَةً</x:v>
      </x:c>
      <x:c r="J28" s="60" t="str">
        <x:v>16:112:6</x:v>
      </x:c>
      <x:c r="K28" s="60" t="str">
        <x:v>مرشح بنيوي؛ لا تُستنتج الدلالة من اللمة وحدها</x:v>
      </x:c>
      <x:c r="L28" s="60" t="str">
        <x:v>https://corpus.quran.com/qurandictionary.jsp?q=Amn</x:v>
      </x:c>
    </x:row>
    <x:row r="29">
      <x:c r="A29" s="60" t="str">
        <x:v>أ م ن</x:v>
      </x:c>
      <x:c r="B29" s="60" t="str">
        <x:v>P1 — أصول تأسيسية عالية الأثر</x:v>
      </x:c>
      <x:c r="C29" s="60" t="str">
        <x:v>اؤْتُمِنَ</x:v>
      </x:c>
      <x:c r="D29" s="62" t="n">
        <x:v>1</x:v>
      </x:c>
      <x:c r="E29" s="60" t="str">
        <x:v>فعل</x:v>
      </x:c>
      <x:c r="F29" s="60" t="str">
        <x:v>V</x:v>
      </x:c>
      <x:c r="G29" s="60" t="str">
        <x:v>8</x:v>
      </x:c>
      <x:c r="H29" s="62" t="n">
        <x:v>1</x:v>
      </x:c>
      <x:c r="I29" s="60" t="str">
        <x:v>ٱؤْتُمِنَ</x:v>
      </x:c>
      <x:c r="J29" s="60" t="str">
        <x:v>2:283:16</x:v>
      </x:c>
      <x:c r="K29" s="60" t="str">
        <x:v>مرشح بنيوي؛ لا تُستنتج الدلالة من اللمة وحدها</x:v>
      </x:c>
      <x:c r="L29" s="60" t="str">
        <x:v>https://corpus.quran.com/qurandictionary.jsp?q=Amn</x:v>
      </x:c>
    </x:row>
    <x:row r="30">
      <x:c r="A30" s="60" t="str">
        <x:v>أ م ن</x:v>
      </x:c>
      <x:c r="B30" s="60" t="str">
        <x:v>P1 — أصول تأسيسية عالية الأثر</x:v>
      </x:c>
      <x:c r="C30" s="60" t="str">
        <x:v>مَأْمَن</x:v>
      </x:c>
      <x:c r="D30" s="62" t="n">
        <x:v>1</x:v>
      </x:c>
      <x:c r="E30" s="60" t="str">
        <x:v>اسم</x:v>
      </x:c>
      <x:c r="F30" s="60" t="str">
        <x:v>N</x:v>
      </x:c>
      <x:c r="G30" s="60" t="str">
        <x:v>—</x:v>
      </x:c>
      <x:c r="H30" s="62" t="n">
        <x:v>1</x:v>
      </x:c>
      <x:c r="I30" s="60" t="str">
        <x:v>مَأْمَنَهُۥ</x:v>
      </x:c>
      <x:c r="J30" s="60" t="str">
        <x:v>9:6:13</x:v>
      </x:c>
      <x:c r="K30" s="60" t="str">
        <x:v>مرشح بنيوي؛ لا تُستنتج الدلالة من اللمة وحدها</x:v>
      </x:c>
      <x:c r="L30" s="60" t="str">
        <x:v>https://corpus.quran.com/qurandictionary.jsp?q=Amn</x:v>
      </x:c>
    </x:row>
    <x:row r="31">
      <x:c r="A31" s="60" t="str">
        <x:v>أ م ن</x:v>
      </x:c>
      <x:c r="B31" s="60" t="str">
        <x:v>P1 — أصول تأسيسية عالية الأثر</x:v>
      </x:c>
      <x:c r="C31" s="60" t="str">
        <x:v>مَأْمُون</x:v>
      </x:c>
      <x:c r="D31" s="62" t="n">
        <x:v>1</x:v>
      </x:c>
      <x:c r="E31" s="60" t="str">
        <x:v>اسم</x:v>
      </x:c>
      <x:c r="F31" s="60" t="str">
        <x:v>N</x:v>
      </x:c>
      <x:c r="G31" s="60" t="str">
        <x:v>1</x:v>
      </x:c>
      <x:c r="H31" s="62" t="n">
        <x:v>1</x:v>
      </x:c>
      <x:c r="I31" s="60" t="str">
        <x:v>مَأْمُونٍ</x:v>
      </x:c>
      <x:c r="J31" s="60" t="str">
        <x:v>70:28:5</x:v>
      </x:c>
      <x:c r="K31" s="60" t="str">
        <x:v>مرشح بنيوي؛ لا تُستنتج الدلالة من اللمة وحدها</x:v>
      </x:c>
      <x:c r="L31" s="60" t="str">
        <x:v>https://corpus.quran.com/qurandictionary.jsp?q=Amn</x:v>
      </x:c>
    </x:row>
    <x:row r="32">
      <x:c r="A32" s="60" t="str">
        <x:v>ك ف ر</x:v>
      </x:c>
      <x:c r="B32" s="60" t="str">
        <x:v>P1 — أصول تأسيسية عالية الأثر</x:v>
      </x:c>
      <x:c r="C32" s="60" t="str">
        <x:v>كَفَرَ</x:v>
      </x:c>
      <x:c r="D32" s="62" t="n">
        <x:v>289</x:v>
      </x:c>
      <x:c r="E32" s="60" t="str">
        <x:v>فعل</x:v>
      </x:c>
      <x:c r="F32" s="60" t="str">
        <x:v>V</x:v>
      </x:c>
      <x:c r="G32" s="60" t="str">
        <x:v>1</x:v>
      </x:c>
      <x:c r="H32" s="62" t="n">
        <x:v>41</x:v>
      </x:c>
      <x:c r="I32" s="60" t="str">
        <x:v>كَفَرُوا۟، كَفَرُوٓا۟، كَفَرَ، يَكْفُرُونَ، تَكْفُرُونَ</x:v>
      </x:c>
      <x:c r="J32" s="60" t="str">
        <x:v>2:6:3؛ 2:26:22؛ 2:28:2؛ 2:39:2</x:v>
      </x:c>
      <x:c r="K32" s="60" t="str">
        <x:v>مرشح بنيوي؛ لا تُستنتج الدلالة من اللمة وحدها</x:v>
      </x:c>
      <x:c r="L32" s="60" t="str">
        <x:v>https://corpus.quran.com/qurandictionary.jsp?q=kfr</x:v>
      </x:c>
    </x:row>
    <x:row r="33">
      <x:c r="A33" s="60" t="str">
        <x:v>ك ف ر</x:v>
      </x:c>
      <x:c r="B33" s="60" t="str">
        <x:v>P1 — أصول تأسيسية عالية الأثر</x:v>
      </x:c>
      <x:c r="C33" s="60" t="str">
        <x:v>كافِر</x:v>
      </x:c>
      <x:c r="D33" s="62" t="n">
        <x:v>156</x:v>
      </x:c>
      <x:c r="E33" s="60" t="str">
        <x:v>اسم</x:v>
      </x:c>
      <x:c r="F33" s="60" t="str">
        <x:v>N</x:v>
      </x:c>
      <x:c r="G33" s="60" t="str">
        <x:v>1</x:v>
      </x:c>
      <x:c r="H33" s="62" t="n">
        <x:v>24</x:v>
      </x:c>
      <x:c r="I33" s="60" t="str">
        <x:v>ٱلْكَٰفِرِينَ، ٱلْكَٰفِرُونَ، لِلْكَٰفِرِينَ، كَٰفِرُونَ، كَٰفِرِينَ</x:v>
      </x:c>
      <x:c r="J33" s="60" t="str">
        <x:v>2:19:19؛ 2:24:13؛ 2:34:13؛ 2:41:10</x:v>
      </x:c>
      <x:c r="K33" s="60" t="str">
        <x:v>مرشح بنيوي؛ لا تُستنتج الدلالة من اللمة وحدها</x:v>
      </x:c>
      <x:c r="L33" s="60" t="str">
        <x:v>https://corpus.quran.com/qurandictionary.jsp?q=kfr</x:v>
      </x:c>
    </x:row>
    <x:row r="34">
      <x:c r="A34" s="60" t="str">
        <x:v>ك ف ر</x:v>
      </x:c>
      <x:c r="B34" s="60" t="str">
        <x:v>P1 — أصول تأسيسية عالية الأثر</x:v>
      </x:c>
      <x:c r="C34" s="60" t="str">
        <x:v>كُفْر</x:v>
      </x:c>
      <x:c r="D34" s="62" t="n">
        <x:v>37</x:v>
      </x:c>
      <x:c r="E34" s="60" t="str">
        <x:v>اسم</x:v>
      </x:c>
      <x:c r="F34" s="60" t="str">
        <x:v>N</x:v>
      </x:c>
      <x:c r="G34" s="60" t="str">
        <x:v>—</x:v>
      </x:c>
      <x:c r="H34" s="62" t="n">
        <x:v>14</x:v>
      </x:c>
      <x:c r="I34" s="60" t="str">
        <x:v>ٱلْكُفْرَ، ٱلْكُفْرِ، بِكُفْرِهِمْ، بِٱلْكُفْرِ، كُفْرًا</x:v>
      </x:c>
      <x:c r="J34" s="60" t="str">
        <x:v>2:88:7؛ 2:93:19؛ 2:108:13؛ 2:217:15</x:v>
      </x:c>
      <x:c r="K34" s="60" t="str">
        <x:v>مرشح بنيوي؛ لا تُستنتج الدلالة من اللمة وحدها</x:v>
      </x:c>
      <x:c r="L34" s="60" t="str">
        <x:v>https://corpus.quran.com/qurandictionary.jsp?q=kfr</x:v>
      </x:c>
    </x:row>
    <x:row r="35">
      <x:c r="A35" s="60" t="str">
        <x:v>ك ف ر</x:v>
      </x:c>
      <x:c r="B35" s="60" t="str">
        <x:v>P1 — أصول تأسيسية عالية الأثر</x:v>
      </x:c>
      <x:c r="C35" s="60" t="str">
        <x:v>كَفَّرَ</x:v>
      </x:c>
      <x:c r="D35" s="62" t="n">
        <x:v>14</x:v>
      </x:c>
      <x:c r="E35" s="60" t="str">
        <x:v>فعل</x:v>
      </x:c>
      <x:c r="F35" s="60" t="str">
        <x:v>V</x:v>
      </x:c>
      <x:c r="G35" s="60" t="str">
        <x:v>2</x:v>
      </x:c>
      <x:c r="H35" s="62" t="n">
        <x:v>13</x:v>
      </x:c>
      <x:c r="I35" s="60" t="str">
        <x:v>يُكَفِّرْ، وَيُكَفِّرُ، وَكَفِّرْ، لَأُكَفِّرَنَّ، نُكَفِّرْ</x:v>
      </x:c>
      <x:c r="J35" s="60" t="str">
        <x:v>2:271:13؛ 3:193:15؛ 3:195:27؛ 4:31:7</x:v>
      </x:c>
      <x:c r="K35" s="60" t="str">
        <x:v>مرشح بنيوي؛ لا تُستنتج الدلالة من اللمة وحدها</x:v>
      </x:c>
      <x:c r="L35" s="60" t="str">
        <x:v>https://corpus.quran.com/qurandictionary.jsp?q=kfr</x:v>
      </x:c>
    </x:row>
    <x:row r="36">
      <x:c r="A36" s="60" t="str">
        <x:v>ك ف ر</x:v>
      </x:c>
      <x:c r="B36" s="60" t="str">
        <x:v>P1 — أصول تأسيسية عالية الأثر</x:v>
      </x:c>
      <x:c r="C36" s="60" t="str">
        <x:v>كَفُور</x:v>
      </x:c>
      <x:c r="D36" s="62" t="n">
        <x:v>12</x:v>
      </x:c>
      <x:c r="E36" s="60" t="str">
        <x:v>اسم</x:v>
      </x:c>
      <x:c r="F36" s="60" t="str">
        <x:v>N</x:v>
      </x:c>
      <x:c r="G36" s="60" t="str">
        <x:v>—</x:v>
      </x:c>
      <x:c r="H36" s="62" t="n">
        <x:v>5</x:v>
      </x:c>
      <x:c r="I36" s="60" t="str">
        <x:v>كَفُورًا، كَفُورٍ، كَفُورٌ، لَكَفُورٌ، ٱلْكَفُورَ</x:v>
      </x:c>
      <x:c r="J36" s="60" t="str">
        <x:v>11:9:11؛ 17:27:9؛ 17:67:18؛ 22:38:13</x:v>
      </x:c>
      <x:c r="K36" s="60" t="str">
        <x:v>مرشح بنيوي؛ لا تُستنتج الدلالة من اللمة وحدها</x:v>
      </x:c>
      <x:c r="L36" s="60" t="str">
        <x:v>https://corpus.quran.com/qurandictionary.jsp?q=kfr</x:v>
      </x:c>
    </x:row>
    <x:row r="37">
      <x:c r="A37" s="60" t="str">
        <x:v>ك ف ر</x:v>
      </x:c>
      <x:c r="B37" s="60" t="str">
        <x:v>P1 — أصول تأسيسية عالية الأثر</x:v>
      </x:c>
      <x:c r="C37" s="60" t="str">
        <x:v>كَفّار</x:v>
      </x:c>
      <x:c r="D37" s="62" t="n">
        <x:v>5</x:v>
      </x:c>
      <x:c r="E37" s="60" t="str">
        <x:v>اسم</x:v>
      </x:c>
      <x:c r="F37" s="60" t="str">
        <x:v>N</x:v>
      </x:c>
      <x:c r="G37" s="60" t="str">
        <x:v>—</x:v>
      </x:c>
      <x:c r="H37" s="62" t="n">
        <x:v>3</x:v>
      </x:c>
      <x:c r="I37" s="60" t="str">
        <x:v>كَفَّارٍ، كَفَّارٌ، كَفَّارًا</x:v>
      </x:c>
      <x:c r="J37" s="60" t="str">
        <x:v>2:276:10؛ 14:34:15؛ 39:3:33؛ 50:24:5</x:v>
      </x:c>
      <x:c r="K37" s="60" t="str">
        <x:v>مرشح بنيوي؛ لا تُستنتج الدلالة من اللمة وحدها</x:v>
      </x:c>
      <x:c r="L37" s="60" t="str">
        <x:v>https://corpus.quran.com/qurandictionary.jsp?q=kfr</x:v>
      </x:c>
    </x:row>
    <x:row r="38">
      <x:c r="A38" s="60" t="str">
        <x:v>ك ف ر</x:v>
      </x:c>
      <x:c r="B38" s="60" t="str">
        <x:v>P1 — أصول تأسيسية عالية الأثر</x:v>
      </x:c>
      <x:c r="C38" s="60" t="str">
        <x:v>كَفّارَة</x:v>
      </x:c>
      <x:c r="D38" s="62" t="n">
        <x:v>4</x:v>
      </x:c>
      <x:c r="E38" s="60" t="str">
        <x:v>اسم</x:v>
      </x:c>
      <x:c r="F38" s="60" t="str">
        <x:v>N</x:v>
      </x:c>
      <x:c r="G38" s="60" t="str">
        <x:v>—</x:v>
      </x:c>
      <x:c r="H38" s="62" t="n">
        <x:v>4</x:v>
      </x:c>
      <x:c r="I38" s="60" t="str">
        <x:v>كَفَّارَةٌ، فَكَفَّٰرَتُهُۥٓ، كَفَّٰرَةُ، كَفَّٰرَةٌ</x:v>
      </x:c>
      <x:c r="J38" s="60" t="str">
        <x:v>5:45:21؛ 5:89:12؛ 5:89:33؛ 5:95:28</x:v>
      </x:c>
      <x:c r="K38" s="60" t="str">
        <x:v>مرشح بنيوي؛ لا تُستنتج الدلالة من اللمة وحدها</x:v>
      </x:c>
      <x:c r="L38" s="60" t="str">
        <x:v>https://corpus.quran.com/qurandictionary.jsp?q=kfr</x:v>
      </x:c>
    </x:row>
    <x:row r="39">
      <x:c r="A39" s="60" t="str">
        <x:v>ك ف ر</x:v>
      </x:c>
      <x:c r="B39" s="60" t="str">
        <x:v>P1 — أصول تأسيسية عالية الأثر</x:v>
      </x:c>
      <x:c r="C39" s="60" t="str">
        <x:v>كُفُور</x:v>
      </x:c>
      <x:c r="D39" s="62" t="n">
        <x:v>3</x:v>
      </x:c>
      <x:c r="E39" s="60" t="str">
        <x:v>اسم</x:v>
      </x:c>
      <x:c r="F39" s="60" t="str">
        <x:v>N</x:v>
      </x:c>
      <x:c r="G39" s="60" t="str">
        <x:v>—</x:v>
      </x:c>
      <x:c r="H39" s="62" t="n">
        <x:v>1</x:v>
      </x:c>
      <x:c r="I39" s="60" t="str">
        <x:v>كُفُورًا</x:v>
      </x:c>
      <x:c r="J39" s="60" t="str">
        <x:v>17:89:14؛ 17:99:23؛ 25:50:9</x:v>
      </x:c>
      <x:c r="K39" s="60" t="str">
        <x:v>مرشح بنيوي؛ لا تُستنتج الدلالة من اللمة وحدها</x:v>
      </x:c>
      <x:c r="L39" s="60" t="str">
        <x:v>https://corpus.quran.com/qurandictionary.jsp?q=kfr</x:v>
      </x:c>
    </x:row>
    <x:row r="40">
      <x:c r="A40" s="60" t="str">
        <x:v>ك ف ر</x:v>
      </x:c>
      <x:c r="B40" s="60" t="str">
        <x:v>P1 — أصول تأسيسية عالية الأثر</x:v>
      </x:c>
      <x:c r="C40" s="60" t="str">
        <x:v>أَكْفَرَ</x:v>
      </x:c>
      <x:c r="D40" s="62" t="n">
        <x:v>1</x:v>
      </x:c>
      <x:c r="E40" s="60" t="str">
        <x:v>فعل</x:v>
      </x:c>
      <x:c r="F40" s="60" t="str">
        <x:v>V</x:v>
      </x:c>
      <x:c r="G40" s="60" t="str">
        <x:v>4</x:v>
      </x:c>
      <x:c r="H40" s="62" t="n">
        <x:v>1</x:v>
      </x:c>
      <x:c r="I40" s="60" t="str">
        <x:v>أَكْفَرَهُۥ</x:v>
      </x:c>
      <x:c r="J40" s="60" t="str">
        <x:v>80:17:4</x:v>
      </x:c>
      <x:c r="K40" s="60" t="str">
        <x:v>مرشح بنيوي؛ لا تُستنتج الدلالة من اللمة وحدها</x:v>
      </x:c>
      <x:c r="L40" s="60" t="str">
        <x:v>https://corpus.quran.com/qurandictionary.jsp?q=kfr</x:v>
      </x:c>
    </x:row>
    <x:row r="41">
      <x:c r="A41" s="60" t="str">
        <x:v>ك ف ر</x:v>
      </x:c>
      <x:c r="B41" s="60" t="str">
        <x:v>P1 — أصول تأسيسية عالية الأثر</x:v>
      </x:c>
      <x:c r="C41" s="60" t="str">
        <x:v>كافُور</x:v>
      </x:c>
      <x:c r="D41" s="62" t="n">
        <x:v>1</x:v>
      </x:c>
      <x:c r="E41" s="60" t="str">
        <x:v>اسم</x:v>
      </x:c>
      <x:c r="F41" s="60" t="str">
        <x:v>N</x:v>
      </x:c>
      <x:c r="G41" s="60" t="str">
        <x:v>—</x:v>
      </x:c>
      <x:c r="H41" s="62" t="n">
        <x:v>1</x:v>
      </x:c>
      <x:c r="I41" s="60" t="str">
        <x:v>كَافُورًا</x:v>
      </x:c>
      <x:c r="J41" s="60" t="str">
        <x:v>76:5:8</x:v>
      </x:c>
      <x:c r="K41" s="60" t="str">
        <x:v>مرشح بنيوي؛ لا تُستنتج الدلالة من اللمة وحدها</x:v>
      </x:c>
      <x:c r="L41" s="60" t="str">
        <x:v>https://corpus.quran.com/qurandictionary.jsp?q=kfr</x:v>
      </x:c>
    </x:row>
    <x:row r="42">
      <x:c r="A42" s="60" t="str">
        <x:v>ك ف ر</x:v>
      </x:c>
      <x:c r="B42" s="60" t="str">
        <x:v>P1 — أصول تأسيسية عالية الأثر</x:v>
      </x:c>
      <x:c r="C42" s="60" t="str">
        <x:v>كافِرَة</x:v>
      </x:c>
      <x:c r="D42" s="62" t="n">
        <x:v>1</x:v>
      </x:c>
      <x:c r="E42" s="60" t="str">
        <x:v>اسم</x:v>
      </x:c>
      <x:c r="F42" s="60" t="str">
        <x:v>N</x:v>
      </x:c>
      <x:c r="G42" s="60" t="str">
        <x:v>1</x:v>
      </x:c>
      <x:c r="H42" s="62" t="n">
        <x:v>1</x:v>
      </x:c>
      <x:c r="I42" s="60" t="str">
        <x:v>كَافِرَةٌ</x:v>
      </x:c>
      <x:c r="J42" s="60" t="str">
        <x:v>3:13:14</x:v>
      </x:c>
      <x:c r="K42" s="60" t="str">
        <x:v>مرشح بنيوي؛ لا تُستنتج الدلالة من اللمة وحدها</x:v>
      </x:c>
      <x:c r="L42" s="60" t="str">
        <x:v>https://corpus.quran.com/qurandictionary.jsp?q=kfr</x:v>
      </x:c>
    </x:row>
    <x:row r="43">
      <x:c r="A43" s="60" t="str">
        <x:v>ك ف ر</x:v>
      </x:c>
      <x:c r="B43" s="60" t="str">
        <x:v>P1 — أصول تأسيسية عالية الأثر</x:v>
      </x:c>
      <x:c r="C43" s="60" t="str">
        <x:v>كَوافِر</x:v>
      </x:c>
      <x:c r="D43" s="62" t="n">
        <x:v>1</x:v>
      </x:c>
      <x:c r="E43" s="60" t="str">
        <x:v>اسم</x:v>
      </x:c>
      <x:c r="F43" s="60" t="str">
        <x:v>N</x:v>
      </x:c>
      <x:c r="G43" s="60" t="str">
        <x:v>—</x:v>
      </x:c>
      <x:c r="H43" s="62" t="n">
        <x:v>1</x:v>
      </x:c>
      <x:c r="I43" s="60" t="str">
        <x:v>ٱلْكَوَافِرِ</x:v>
      </x:c>
      <x:c r="J43" s="60" t="str">
        <x:v>60:10:41</x:v>
      </x:c>
      <x:c r="K43" s="60" t="str">
        <x:v>مرشح بنيوي؛ لا تُستنتج الدلالة من اللمة وحدها</x:v>
      </x:c>
      <x:c r="L43" s="60" t="str">
        <x:v>https://corpus.quran.com/qurandictionary.jsp?q=kfr</x:v>
      </x:c>
    </x:row>
    <x:row r="44">
      <x:c r="A44" s="60" t="str">
        <x:v>ك ف ر</x:v>
      </x:c>
      <x:c r="B44" s="60" t="str">
        <x:v>P1 — أصول تأسيسية عالية الأثر</x:v>
      </x:c>
      <x:c r="C44" s="60" t="str">
        <x:v>كُفْران</x:v>
      </x:c>
      <x:c r="D44" s="62" t="n">
        <x:v>1</x:v>
      </x:c>
      <x:c r="E44" s="60" t="str">
        <x:v>اسم</x:v>
      </x:c>
      <x:c r="F44" s="60" t="str">
        <x:v>N</x:v>
      </x:c>
      <x:c r="G44" s="60" t="str">
        <x:v>—</x:v>
      </x:c>
      <x:c r="H44" s="62" t="n">
        <x:v>1</x:v>
      </x:c>
      <x:c r="I44" s="60" t="str">
        <x:v>كُفْرَانَ</x:v>
      </x:c>
      <x:c r="J44" s="60" t="str">
        <x:v>21:94:8</x:v>
      </x:c>
      <x:c r="K44" s="60" t="str">
        <x:v>مرشح بنيوي؛ لا تُستنتج الدلالة من اللمة وحدها</x:v>
      </x:c>
      <x:c r="L44" s="60" t="str">
        <x:v>https://corpus.quran.com/qurandictionary.jsp?q=kfr</x:v>
      </x:c>
    </x:row>
    <x:row r="45">
      <x:c r="A45" s="60" t="str">
        <x:v>ع ل م</x:v>
      </x:c>
      <x:c r="B45" s="60" t="str">
        <x:v>P1 — أصول تأسيسية عالية الأثر</x:v>
      </x:c>
      <x:c r="C45" s="60" t="str">
        <x:v>عَلِمَ</x:v>
      </x:c>
      <x:c r="D45" s="62" t="n">
        <x:v>382</x:v>
      </x:c>
      <x:c r="E45" s="60" t="str">
        <x:v>فعل</x:v>
      </x:c>
      <x:c r="F45" s="60" t="str">
        <x:v>V</x:v>
      </x:c>
      <x:c r="G45" s="60" t="str">
        <x:v>1</x:v>
      </x:c>
      <x:c r="H45" s="62" t="n">
        <x:v>80</x:v>
      </x:c>
      <x:c r="I45" s="60" t="str">
        <x:v>يَعْلَمُونَ، يَعْلَمُ، تَعْلَمُونَ، وَٱعْلَمُوٓا۟، وَيَعْلَمُ</x:v>
      </x:c>
      <x:c r="J45" s="60" t="str">
        <x:v>2:13:19؛ 2:22:23؛ 2:26:15؛ 2:30:25</x:v>
      </x:c>
      <x:c r="K45" s="60" t="str">
        <x:v>مرشح بنيوي؛ لا تُستنتج الدلالة من اللمة وحدها</x:v>
      </x:c>
      <x:c r="L45" s="60" t="str">
        <x:v>https://corpus.quran.com/qurandictionary.jsp?q=Elm</x:v>
      </x:c>
    </x:row>
    <x:row r="46">
      <x:c r="A46" s="60" t="str">
        <x:v>ع ل م</x:v>
      </x:c>
      <x:c r="B46" s="60" t="str">
        <x:v>P1 — أصول تأسيسية عالية الأثر</x:v>
      </x:c>
      <x:c r="C46" s="60" t="str">
        <x:v>عَلِيم</x:v>
      </x:c>
      <x:c r="D46" s="62" t="n">
        <x:v>163</x:v>
      </x:c>
      <x:c r="E46" s="60" t="str">
        <x:v>اسم</x:v>
      </x:c>
      <x:c r="F46" s="60" t="str">
        <x:v>N</x:v>
      </x:c>
      <x:c r="G46" s="60" t="str">
        <x:v>—</x:v>
      </x:c>
      <x:c r="H46" s="62" t="n">
        <x:v>9</x:v>
      </x:c>
      <x:c r="I46" s="60" t="str">
        <x:v>عَلِيمٌ، ٱلْعَلِيمُ، عَلِيمٌۢ، عَلِيمًا، عَلِيمٍ</x:v>
      </x:c>
      <x:c r="J46" s="60" t="str">
        <x:v>2:29:19؛ 2:32:11؛ 2:95:8؛ 2:115:12</x:v>
      </x:c>
      <x:c r="K46" s="60" t="str">
        <x:v>مرشح بنيوي؛ لا تُستنتج الدلالة من اللمة وحدها</x:v>
      </x:c>
      <x:c r="L46" s="60" t="str">
        <x:v>https://corpus.quran.com/qurandictionary.jsp?q=Elm</x:v>
      </x:c>
    </x:row>
    <x:row r="47">
      <x:c r="A47" s="60" t="str">
        <x:v>ع ل م</x:v>
      </x:c>
      <x:c r="B47" s="60" t="str">
        <x:v>P1 — أصول تأسيسية عالية الأثر</x:v>
      </x:c>
      <x:c r="C47" s="60" t="str">
        <x:v>عِلْم</x:v>
      </x:c>
      <x:c r="D47" s="62" t="n">
        <x:v>105</x:v>
      </x:c>
      <x:c r="E47" s="60" t="str">
        <x:v>اسم</x:v>
      </x:c>
      <x:c r="F47" s="60" t="str">
        <x:v>N</x:v>
      </x:c>
      <x:c r="G47" s="60" t="str">
        <x:v>—</x:v>
      </x:c>
      <x:c r="H47" s="62" t="n">
        <x:v>19</x:v>
      </x:c>
      <x:c r="I47" s="60" t="str">
        <x:v>عِلْمٍ، ٱلْعِلْمِ، عِلْمٌ، ٱلْعِلْمَ، عِلْمًا</x:v>
      </x:c>
      <x:c r="J47" s="60" t="str">
        <x:v>2:32:4؛ 2:120:23؛ 2:145:28؛ 2:247:34</x:v>
      </x:c>
      <x:c r="K47" s="60" t="str">
        <x:v>مرشح بنيوي؛ لا تُستنتج الدلالة من اللمة وحدها</x:v>
      </x:c>
      <x:c r="L47" s="60" t="str">
        <x:v>https://corpus.quran.com/qurandictionary.jsp?q=Elm</x:v>
      </x:c>
    </x:row>
    <x:row r="48">
      <x:c r="A48" s="60" t="str">
        <x:v>ع ل م</x:v>
      </x:c>
      <x:c r="B48" s="60" t="str">
        <x:v>P1 — أصول تأسيسية عالية الأثر</x:v>
      </x:c>
      <x:c r="C48" s="60" t="str">
        <x:v>عالَم</x:v>
      </x:c>
      <x:c r="D48" s="62" t="n">
        <x:v>73</x:v>
      </x:c>
      <x:c r="E48" s="60" t="str">
        <x:v>اسم</x:v>
      </x:c>
      <x:c r="F48" s="60" t="str">
        <x:v>N</x:v>
      </x:c>
      <x:c r="G48" s="60" t="str">
        <x:v>—</x:v>
      </x:c>
      <x:c r="H48" s="62" t="n">
        <x:v>3</x:v>
      </x:c>
      <x:c r="I48" s="60" t="str">
        <x:v>ٱلْعَٰلَمِينَ، لِّلْعَٰلَمِينَ، لِلْعَٰلَمِينَ</x:v>
      </x:c>
      <x:c r="J48" s="60" t="str">
        <x:v>1:2:4؛ 2:47:11؛ 2:122:11؛ 2:131:9</x:v>
      </x:c>
      <x:c r="K48" s="60" t="str">
        <x:v>مرشح بنيوي؛ لا تُستنتج الدلالة من اللمة وحدها</x:v>
      </x:c>
      <x:c r="L48" s="60" t="str">
        <x:v>https://corpus.quran.com/qurandictionary.jsp?q=Elm</x:v>
      </x:c>
    </x:row>
    <x:row r="49">
      <x:c r="A49" s="60" t="str">
        <x:v>ع ل م</x:v>
      </x:c>
      <x:c r="B49" s="60" t="str">
        <x:v>P1 — أصول تأسيسية عالية الأثر</x:v>
      </x:c>
      <x:c r="C49" s="60" t="str">
        <x:v>أَعْلَم</x:v>
      </x:c>
      <x:c r="D49" s="62" t="n">
        <x:v>49</x:v>
      </x:c>
      <x:c r="E49" s="60" t="str">
        <x:v>اسم</x:v>
      </x:c>
      <x:c r="F49" s="60" t="str">
        <x:v>N</x:v>
      </x:c>
      <x:c r="G49" s="60" t="str">
        <x:v>—</x:v>
      </x:c>
      <x:c r="H49" s="62" t="n">
        <x:v>2</x:v>
      </x:c>
      <x:c r="I49" s="60" t="str">
        <x:v>أَعْلَمُ، بِأَعْلَمَ</x:v>
      </x:c>
      <x:c r="J49" s="60" t="str">
        <x:v>2:140:15؛ 3:36:9؛ 3:167:31؛ 4:25:18</x:v>
      </x:c>
      <x:c r="K49" s="60" t="str">
        <x:v>مرشح بنيوي؛ لا تُستنتج الدلالة من اللمة وحدها</x:v>
      </x:c>
      <x:c r="L49" s="60" t="str">
        <x:v>https://corpus.quran.com/qurandictionary.jsp?q=Elm</x:v>
      </x:c>
    </x:row>
    <x:row r="50">
      <x:c r="A50" s="60" t="str">
        <x:v>ع ل م</x:v>
      </x:c>
      <x:c r="B50" s="60" t="str">
        <x:v>P1 — أصول تأسيسية عالية الأثر</x:v>
      </x:c>
      <x:c r="C50" s="60" t="str">
        <x:v>عَلَّمَ</x:v>
      </x:c>
      <x:c r="D50" s="62" t="n">
        <x:v>41</x:v>
      </x:c>
      <x:c r="E50" s="60" t="str">
        <x:v>فعل</x:v>
      </x:c>
      <x:c r="F50" s="60" t="str">
        <x:v>V</x:v>
      </x:c>
      <x:c r="G50" s="60" t="str">
        <x:v>2</x:v>
      </x:c>
      <x:c r="H50" s="62" t="n">
        <x:v>31</x:v>
      </x:c>
      <x:c r="I50" s="60" t="str">
        <x:v>وَيُعَلِّمُهُمُ، عَلَّمَكُمُ، عَلَّمَ، وَيُعَلِّمُكُمُ، عَلَّمَهُ</x:v>
      </x:c>
      <x:c r="J50" s="60" t="str">
        <x:v>2:31:1؛ 2:32:8؛ 2:102:14؛ 2:102:25</x:v>
      </x:c>
      <x:c r="K50" s="60" t="str">
        <x:v>مرشح بنيوي؛ لا تُستنتج الدلالة من اللمة وحدها</x:v>
      </x:c>
      <x:c r="L50" s="60" t="str">
        <x:v>https://corpus.quran.com/qurandictionary.jsp?q=Elm</x:v>
      </x:c>
    </x:row>
    <x:row r="51">
      <x:c r="A51" s="60" t="str">
        <x:v>ع ل م</x:v>
      </x:c>
      <x:c r="B51" s="60" t="str">
        <x:v>P1 — أصول تأسيسية عالية الأثر</x:v>
      </x:c>
      <x:c r="C51" s="60" t="str">
        <x:v>عالِم</x:v>
      </x:c>
      <x:c r="D51" s="62" t="n">
        <x:v>18</x:v>
      </x:c>
      <x:c r="E51" s="60" t="str">
        <x:v>اسم</x:v>
      </x:c>
      <x:c r="F51" s="60" t="str">
        <x:v>N</x:v>
      </x:c>
      <x:c r="G51" s="60" t="str">
        <x:v>1</x:v>
      </x:c>
      <x:c r="H51" s="62" t="n">
        <x:v>7</x:v>
      </x:c>
      <x:c r="I51" s="60" t="str">
        <x:v>عَٰلِمُ، عَٰلِمِ، عَٰلِمِينَ، بِعَٰلِمِينَ، ٱلْعَٰلِمُونَ</x:v>
      </x:c>
      <x:c r="J51" s="60" t="str">
        <x:v>6:73:19؛ 9:94:24؛ 9:105:10؛ 12:44:8</x:v>
      </x:c>
      <x:c r="K51" s="60" t="str">
        <x:v>مرشح بنيوي؛ لا تُستنتج الدلالة من اللمة وحدها</x:v>
      </x:c>
      <x:c r="L51" s="60" t="str">
        <x:v>https://corpus.quran.com/qurandictionary.jsp?q=Elm</x:v>
      </x:c>
    </x:row>
    <x:row r="52">
      <x:c r="A52" s="60" t="str">
        <x:v>ع ل م</x:v>
      </x:c>
      <x:c r="B52" s="60" t="str">
        <x:v>P1 — أصول تأسيسية عالية الأثر</x:v>
      </x:c>
      <x:c r="C52" s="60" t="str">
        <x:v>مَعْلُوم</x:v>
      </x:c>
      <x:c r="D52" s="62" t="n">
        <x:v>11</x:v>
      </x:c>
      <x:c r="E52" s="60" t="str">
        <x:v>اسم</x:v>
      </x:c>
      <x:c r="F52" s="60" t="str">
        <x:v>N</x:v>
      </x:c>
      <x:c r="G52" s="60" t="str">
        <x:v>1</x:v>
      </x:c>
      <x:c r="H52" s="62" t="n">
        <x:v>3</x:v>
      </x:c>
      <x:c r="I52" s="60" t="str">
        <x:v>مَّعْلُومٍ، مَّعْلُومٌ، ٱلْمَعْلُومِ</x:v>
      </x:c>
      <x:c r="J52" s="60" t="str">
        <x:v>15:4:8؛ 15:21:11؛ 15:38:4؛ 26:38:5</x:v>
      </x:c>
      <x:c r="K52" s="60" t="str">
        <x:v>مرشح بنيوي؛ لا تُستنتج الدلالة من اللمة وحدها</x:v>
      </x:c>
      <x:c r="L52" s="60" t="str">
        <x:v>https://corpus.quran.com/qurandictionary.jsp?q=Elm</x:v>
      </x:c>
    </x:row>
    <x:row r="53">
      <x:c r="A53" s="60" t="str">
        <x:v>ع ل م</x:v>
      </x:c>
      <x:c r="B53" s="60" t="str">
        <x:v>P1 — أصول تأسيسية عالية الأثر</x:v>
      </x:c>
      <x:c r="C53" s="60" t="str">
        <x:v>عَلّام</x:v>
      </x:c>
      <x:c r="D53" s="62" t="n">
        <x:v>4</x:v>
      </x:c>
      <x:c r="E53" s="60" t="str">
        <x:v>اسم</x:v>
      </x:c>
      <x:c r="F53" s="60" t="str">
        <x:v>N</x:v>
      </x:c>
      <x:c r="G53" s="60" t="str">
        <x:v>—</x:v>
      </x:c>
      <x:c r="H53" s="62" t="n">
        <x:v>1</x:v>
      </x:c>
      <x:c r="I53" s="60" t="str">
        <x:v>عَلَّٰمُ</x:v>
      </x:c>
      <x:c r="J53" s="60" t="str">
        <x:v>5:109:14؛ 5:116:43؛ 9:78:10؛ 34:48:6</x:v>
      </x:c>
      <x:c r="K53" s="60" t="str">
        <x:v>مرشح بنيوي؛ لا تُستنتج الدلالة من اللمة وحدها</x:v>
      </x:c>
      <x:c r="L53" s="60" t="str">
        <x:v>https://corpus.quran.com/qurandictionary.jsp?q=Elm</x:v>
      </x:c>
    </x:row>
    <x:row r="54">
      <x:c r="A54" s="60" t="str">
        <x:v>ع ل م</x:v>
      </x:c>
      <x:c r="B54" s="60" t="str">
        <x:v>P1 — أصول تأسيسية عالية الأثر</x:v>
      </x:c>
      <x:c r="C54" s="60" t="str">
        <x:v>أَعْلام</x:v>
      </x:c>
      <x:c r="D54" s="62" t="n">
        <x:v>2</x:v>
      </x:c>
      <x:c r="E54" s="60" t="str">
        <x:v>اسم</x:v>
      </x:c>
      <x:c r="F54" s="60" t="str">
        <x:v>N</x:v>
      </x:c>
      <x:c r="G54" s="60" t="str">
        <x:v>—</x:v>
      </x:c>
      <x:c r="H54" s="62" t="n">
        <x:v>1</x:v>
      </x:c>
      <x:c r="I54" s="60" t="str">
        <x:v>كَٱلْأَعْلَٰمِ</x:v>
      </x:c>
      <x:c r="J54" s="60" t="str">
        <x:v>42:32:6؛ 55:24:6</x:v>
      </x:c>
      <x:c r="K54" s="60" t="str">
        <x:v>مرشح بنيوي؛ لا تُستنتج الدلالة من اللمة وحدها</x:v>
      </x:c>
      <x:c r="L54" s="60" t="str">
        <x:v>https://corpus.quran.com/qurandictionary.jsp?q=Elm</x:v>
      </x:c>
    </x:row>
    <x:row r="55">
      <x:c r="A55" s="60" t="str">
        <x:v>ع ل م</x:v>
      </x:c>
      <x:c r="B55" s="60" t="str">
        <x:v>P1 — أصول تأسيسية عالية الأثر</x:v>
      </x:c>
      <x:c r="C55" s="60" t="str">
        <x:v>مَعْلُومَة</x:v>
      </x:c>
      <x:c r="D55" s="62" t="n">
        <x:v>2</x:v>
      </x:c>
      <x:c r="E55" s="60" t="str">
        <x:v>اسم</x:v>
      </x:c>
      <x:c r="F55" s="60" t="str">
        <x:v>N</x:v>
      </x:c>
      <x:c r="G55" s="60" t="str">
        <x:v>—</x:v>
      </x:c>
      <x:c r="H55" s="62" t="n">
        <x:v>2</x:v>
      </x:c>
      <x:c r="I55" s="60" t="str">
        <x:v>مَّعْلُومَٰتٌ، مَّعْلُومَٰتٍ</x:v>
      </x:c>
      <x:c r="J55" s="60" t="str">
        <x:v>2:197:3؛ 22:28:9</x:v>
      </x:c>
      <x:c r="K55" s="60" t="str">
        <x:v>مرشح بنيوي؛ لا تُستنتج الدلالة من اللمة وحدها</x:v>
      </x:c>
      <x:c r="L55" s="60" t="str">
        <x:v>https://corpus.quran.com/qurandictionary.jsp?q=Elm</x:v>
      </x:c>
    </x:row>
    <x:row r="56">
      <x:c r="A56" s="60" t="str">
        <x:v>ع ل م</x:v>
      </x:c>
      <x:c r="B56" s="60" t="str">
        <x:v>P1 — أصول تأسيسية عالية الأثر</x:v>
      </x:c>
      <x:c r="C56" s="60" t="str">
        <x:v>يَتَعَلَّمُ</x:v>
      </x:c>
      <x:c r="D56" s="62" t="n">
        <x:v>2</x:v>
      </x:c>
      <x:c r="E56" s="60" t="str">
        <x:v>فعل</x:v>
      </x:c>
      <x:c r="F56" s="60" t="str">
        <x:v>V</x:v>
      </x:c>
      <x:c r="G56" s="60" t="str">
        <x:v>5</x:v>
      </x:c>
      <x:c r="H56" s="62" t="n">
        <x:v>2</x:v>
      </x:c>
      <x:c r="I56" s="60" t="str">
        <x:v>فَيَتَعَلَّمُونَ، وَيَتَعَلَّمُونَ</x:v>
      </x:c>
      <x:c r="J56" s="60" t="str">
        <x:v>2:102:35؛ 2:102:52</x:v>
      </x:c>
      <x:c r="K56" s="60" t="str">
        <x:v>مرشح بنيوي؛ لا تُستنتج الدلالة من اللمة وحدها</x:v>
      </x:c>
      <x:c r="L56" s="60" t="str">
        <x:v>https://corpus.quran.com/qurandictionary.jsp?q=Elm</x:v>
      </x:c>
    </x:row>
    <x:row r="57">
      <x:c r="A57" s="60" t="str">
        <x:v>ع ل م</x:v>
      </x:c>
      <x:c r="B57" s="60" t="str">
        <x:v>P1 — أصول تأسيسية عالية الأثر</x:v>
      </x:c>
      <x:c r="C57" s="60" t="str">
        <x:v>عَلامَة</x:v>
      </x:c>
      <x:c r="D57" s="62" t="n">
        <x:v>1</x:v>
      </x:c>
      <x:c r="E57" s="60" t="str">
        <x:v>اسم</x:v>
      </x:c>
      <x:c r="F57" s="60" t="str">
        <x:v>N</x:v>
      </x:c>
      <x:c r="G57" s="60" t="str">
        <x:v>—</x:v>
      </x:c>
      <x:c r="H57" s="62" t="n">
        <x:v>1</x:v>
      </x:c>
      <x:c r="I57" s="60" t="str">
        <x:v>وَعَلَٰمَٰتٍ</x:v>
      </x:c>
      <x:c r="J57" s="60" t="str">
        <x:v>16:16:1</x:v>
      </x:c>
      <x:c r="K57" s="60" t="str">
        <x:v>مرشح بنيوي؛ لا تُستنتج الدلالة من اللمة وحدها</x:v>
      </x:c>
      <x:c r="L57" s="60" t="str">
        <x:v>https://corpus.quran.com/qurandictionary.jsp?q=Elm</x:v>
      </x:c>
    </x:row>
    <x:row r="58">
      <x:c r="A58" s="60" t="str">
        <x:v>ع ل م</x:v>
      </x:c>
      <x:c r="B58" s="60" t="str">
        <x:v>P1 — أصول تأسيسية عالية الأثر</x:v>
      </x:c>
      <x:c r="C58" s="60" t="str">
        <x:v>مُعَلَّم</x:v>
      </x:c>
      <x:c r="D58" s="62" t="n">
        <x:v>1</x:v>
      </x:c>
      <x:c r="E58" s="60" t="str">
        <x:v>اسم</x:v>
      </x:c>
      <x:c r="F58" s="60" t="str">
        <x:v>N</x:v>
      </x:c>
      <x:c r="G58" s="60" t="str">
        <x:v>2</x:v>
      </x:c>
      <x:c r="H58" s="62" t="n">
        <x:v>1</x:v>
      </x:c>
      <x:c r="I58" s="60" t="str">
        <x:v>مُعَلَّمٌ</x:v>
      </x:c>
      <x:c r="J58" s="60" t="str">
        <x:v>44:14:5</x:v>
      </x:c>
      <x:c r="K58" s="60" t="str">
        <x:v>مرشح بنيوي؛ لا تُستنتج الدلالة من اللمة وحدها</x:v>
      </x:c>
      <x:c r="L58" s="60" t="str">
        <x:v>https://corpus.quran.com/qurandictionary.jsp?q=Elm</x:v>
      </x:c>
    </x:row>
    <x:row r="59">
      <x:c r="A59" s="60" t="str">
        <x:v>ب ي ن</x:v>
      </x:c>
      <x:c r="B59" s="60" t="str">
        <x:v>P1 — أصول تأسيسية عالية الأثر</x:v>
      </x:c>
      <x:c r="C59" s="60" t="str">
        <x:v>بَيْن</x:v>
      </x:c>
      <x:c r="D59" s="62" t="n">
        <x:v>266</x:v>
      </x:c>
      <x:c r="E59" s="60" t="str">
        <x:v>اسم</x:v>
      </x:c>
      <x:c r="F59" s="60" t="str">
        <x:v>N</x:v>
      </x:c>
      <x:c r="G59" s="60" t="str">
        <x:v>—</x:v>
      </x:c>
      <x:c r="H59" s="62" t="n">
        <x:v>32</x:v>
      </x:c>
      <x:c r="I59" s="60" t="str">
        <x:v>بَيْنَ، بَيْنَهُمْ، بَيْنَهُمَا، بَيْنَكُمْ، بَيْنَنَا</x:v>
      </x:c>
      <x:c r="J59" s="60" t="str">
        <x:v>2:66:4؛ 2:68:19؛ 2:97:14؛ 2:102:40</x:v>
      </x:c>
      <x:c r="K59" s="60" t="str">
        <x:v>مرشح بنيوي؛ لا تُستنتج الدلالة من اللمة وحدها</x:v>
      </x:c>
      <x:c r="L59" s="60" t="str">
        <x:v>https://corpus.quran.com/qurandictionary.jsp?q=byn</x:v>
      </x:c>
    </x:row>
    <x:row r="60">
      <x:c r="A60" s="60" t="str">
        <x:v>ب ي ن</x:v>
      </x:c>
      <x:c r="B60" s="60" t="str">
        <x:v>P1 — أصول تأسيسية عالية الأثر</x:v>
      </x:c>
      <x:c r="C60" s="60" t="str">
        <x:v>مُبِين</x:v>
      </x:c>
      <x:c r="D60" s="62" t="n">
        <x:v>119</x:v>
      </x:c>
      <x:c r="E60" s="60" t="str">
        <x:v>اسم</x:v>
      </x:c>
      <x:c r="F60" s="60" t="str">
        <x:v>N</x:v>
      </x:c>
      <x:c r="G60" s="60" t="str">
        <x:v>4</x:v>
      </x:c>
      <x:c r="H60" s="62" t="n">
        <x:v>7</x:v>
      </x:c>
      <x:c r="I60" s="60" t="str">
        <x:v>مُّبِينٌ، مُّبِينٍ، ٱلْمُبِينُ، مُّبِينًا، ٱلْمُبِينِ</x:v>
      </x:c>
      <x:c r="J60" s="60" t="str">
        <x:v>2:168:16؛ 2:208:15؛ 3:164:25؛ 4:20:17</x:v>
      </x:c>
      <x:c r="K60" s="60" t="str">
        <x:v>مرشح بنيوي؛ لا تُستنتج الدلالة من اللمة وحدها</x:v>
      </x:c>
      <x:c r="L60" s="60" t="str">
        <x:v>https://corpus.quran.com/qurandictionary.jsp?q=byn</x:v>
      </x:c>
    </x:row>
    <x:row r="61">
      <x:c r="A61" s="60" t="str">
        <x:v>ب ي ن</x:v>
      </x:c>
      <x:c r="B61" s="60" t="str">
        <x:v>P1 — أصول تأسيسية عالية الأثر</x:v>
      </x:c>
      <x:c r="C61" s="60" t="str">
        <x:v>بَيِّنَة</x:v>
      </x:c>
      <x:c r="D61" s="62" t="n">
        <x:v>71</x:v>
      </x:c>
      <x:c r="E61" s="60" t="str">
        <x:v>اسم</x:v>
      </x:c>
      <x:c r="F61" s="60" t="str">
        <x:v>N</x:v>
      </x:c>
      <x:c r="G61" s="60" t="str">
        <x:v>—</x:v>
      </x:c>
      <x:c r="H61" s="62" t="n">
        <x:v>13</x:v>
      </x:c>
      <x:c r="I61" s="60" t="str">
        <x:v>بِٱلْبَيِّنَٰتِ، بَيِّنَٰتٍ، بَيِّنَةٍ، ٱلْبَيِّنَٰتُ، ٱلْبَيِّنَٰتِ</x:v>
      </x:c>
      <x:c r="J61" s="60" t="str">
        <x:v>2:87:13؛ 2:92:4؛ 2:99:5؛ 2:159:7</x:v>
      </x:c>
      <x:c r="K61" s="60" t="str">
        <x:v>مرشح بنيوي؛ لا تُستنتج الدلالة من اللمة وحدها</x:v>
      </x:c>
      <x:c r="L61" s="60" t="str">
        <x:v>https://corpus.quran.com/qurandictionary.jsp?q=byn</x:v>
      </x:c>
    </x:row>
    <x:row r="62">
      <x:c r="A62" s="60" t="str">
        <x:v>ب ي ن</x:v>
      </x:c>
      <x:c r="B62" s="60" t="str">
        <x:v>P1 — أصول تأسيسية عالية الأثر</x:v>
      </x:c>
      <x:c r="C62" s="60" t="str">
        <x:v>بَيَّنُ</x:v>
      </x:c>
      <x:c r="D62" s="62" t="n">
        <x:v>35</x:v>
      </x:c>
      <x:c r="E62" s="60" t="str">
        <x:v>فعل</x:v>
      </x:c>
      <x:c r="F62" s="60" t="str">
        <x:v>V</x:v>
      </x:c>
      <x:c r="G62" s="60" t="str">
        <x:v>2</x:v>
      </x:c>
      <x:c r="H62" s="62" t="n">
        <x:v>16</x:v>
      </x:c>
      <x:c r="I62" s="60" t="str">
        <x:v>يُبَيِّنُ، يُبَيِّن، بَيَّنَّا، لِيُبَيِّنَ، وَيُبَيِّنُ</x:v>
      </x:c>
      <x:c r="J62" s="60" t="str">
        <x:v>2:68:5؛ 2:69:5؛ 2:70:5؛ 2:118:21</x:v>
      </x:c>
      <x:c r="K62" s="60" t="str">
        <x:v>مرشح بنيوي؛ لا تُستنتج الدلالة من اللمة وحدها</x:v>
      </x:c>
      <x:c r="L62" s="60" t="str">
        <x:v>https://corpus.quran.com/qurandictionary.jsp?q=byn</x:v>
      </x:c>
    </x:row>
    <x:row r="63">
      <x:c r="A63" s="60" t="str">
        <x:v>ب ي ن</x:v>
      </x:c>
      <x:c r="B63" s="60" t="str">
        <x:v>P1 — أصول تأسيسية عالية الأثر</x:v>
      </x:c>
      <x:c r="C63" s="60" t="str">
        <x:v>تَبَيَّنَ</x:v>
      </x:c>
      <x:c r="D63" s="62" t="n">
        <x:v>18</x:v>
      </x:c>
      <x:c r="E63" s="60" t="str">
        <x:v>فعل</x:v>
      </x:c>
      <x:c r="F63" s="60" t="str">
        <x:v>V</x:v>
      </x:c>
      <x:c r="G63" s="60" t="str">
        <x:v>5</x:v>
      </x:c>
      <x:c r="H63" s="62" t="n">
        <x:v>7</x:v>
      </x:c>
      <x:c r="I63" s="60" t="str">
        <x:v>تَبَيَّنَ، يَتَبَيَّنَ، تَّبَيَّنَ، فَتَبَيَّنُوٓا۟، فَتَبَيَّنُوا۟</x:v>
      </x:c>
      <x:c r="J63" s="60" t="str">
        <x:v>2:109:19؛ 2:187:34؛ 2:256:6؛ 2:259:58</x:v>
      </x:c>
      <x:c r="K63" s="60" t="str">
        <x:v>مرشح بنيوي؛ لا تُستنتج الدلالة من اللمة وحدها</x:v>
      </x:c>
      <x:c r="L63" s="60" t="str">
        <x:v>https://corpus.quran.com/qurandictionary.jsp?q=byn</x:v>
      </x:c>
    </x:row>
    <x:row r="64">
      <x:c r="A64" s="60" t="str">
        <x:v>ب ي ن</x:v>
      </x:c>
      <x:c r="B64" s="60" t="str">
        <x:v>P1 — أصول تأسيسية عالية الأثر</x:v>
      </x:c>
      <x:c r="C64" s="60" t="str">
        <x:v>مُبَيِّنَة</x:v>
      </x:c>
      <x:c r="D64" s="62" t="n">
        <x:v>6</x:v>
      </x:c>
      <x:c r="E64" s="60" t="str">
        <x:v>اسم</x:v>
      </x:c>
      <x:c r="F64" s="60" t="str">
        <x:v>N</x:v>
      </x:c>
      <x:c r="G64" s="60" t="str">
        <x:v>2</x:v>
      </x:c>
      <x:c r="H64" s="62" t="n">
        <x:v>3</x:v>
      </x:c>
      <x:c r="I64" s="60" t="str">
        <x:v>مُّبَيِّنَةٍ، مُّبَيِّنَٰتٍ، مُبَيِّنَٰتٍ</x:v>
      </x:c>
      <x:c r="J64" s="60" t="str">
        <x:v>4:19:21؛ 24:34:5؛ 24:46:4؛ 33:30:7</x:v>
      </x:c>
      <x:c r="K64" s="60" t="str">
        <x:v>مرشح بنيوي؛ لا تُستنتج الدلالة من اللمة وحدها</x:v>
      </x:c>
      <x:c r="L64" s="60" t="str">
        <x:v>https://corpus.quran.com/qurandictionary.jsp?q=byn</x:v>
      </x:c>
    </x:row>
    <x:row r="65">
      <x:c r="A65" s="60" t="str">
        <x:v>ب ي ن</x:v>
      </x:c>
      <x:c r="B65" s="60" t="str">
        <x:v>P1 — أصول تأسيسية عالية الأثر</x:v>
      </x:c>
      <x:c r="C65" s="60" t="str">
        <x:v>بَيان</x:v>
      </x:c>
      <x:c r="D65" s="62" t="n">
        <x:v>3</x:v>
      </x:c>
      <x:c r="E65" s="60" t="str">
        <x:v>اسم</x:v>
      </x:c>
      <x:c r="F65" s="60" t="str">
        <x:v>N</x:v>
      </x:c>
      <x:c r="G65" s="60" t="str">
        <x:v>—</x:v>
      </x:c>
      <x:c r="H65" s="62" t="n">
        <x:v>3</x:v>
      </x:c>
      <x:c r="I65" s="60" t="str">
        <x:v>بَيَانٌ، ٱلْبَيَانَ، بَيَانَهُۥ</x:v>
      </x:c>
      <x:c r="J65" s="60" t="str">
        <x:v>3:138:2؛ 55:4:2؛ 75:19:4</x:v>
      </x:c>
      <x:c r="K65" s="60" t="str">
        <x:v>مرشح بنيوي؛ لا تُستنتج الدلالة من اللمة وحدها</x:v>
      </x:c>
      <x:c r="L65" s="60" t="str">
        <x:v>https://corpus.quran.com/qurandictionary.jsp?q=byn</x:v>
      </x:c>
    </x:row>
    <x:row r="66">
      <x:c r="A66" s="60" t="str">
        <x:v>ب ي ن</x:v>
      </x:c>
      <x:c r="B66" s="60" t="str">
        <x:v>P1 — أصول تأسيسية عالية الأثر</x:v>
      </x:c>
      <x:c r="C66" s="60" t="str">
        <x:v>بَيِّن</x:v>
      </x:c>
      <x:c r="D66" s="62" t="n">
        <x:v>1</x:v>
      </x:c>
      <x:c r="E66" s="60" t="str">
        <x:v>اسم</x:v>
      </x:c>
      <x:c r="F66" s="60" t="str">
        <x:v>N</x:v>
      </x:c>
      <x:c r="G66" s="60" t="str">
        <x:v>—</x:v>
      </x:c>
      <x:c r="H66" s="62" t="n">
        <x:v>1</x:v>
      </x:c>
      <x:c r="I66" s="60" t="str">
        <x:v>بَيِّنٍ</x:v>
      </x:c>
      <x:c r="J66" s="60" t="str">
        <x:v>18:15:11</x:v>
      </x:c>
      <x:c r="K66" s="60" t="str">
        <x:v>مرشح بنيوي؛ لا تُستنتج الدلالة من اللمة وحدها</x:v>
      </x:c>
      <x:c r="L66" s="60" t="str">
        <x:v>https://corpus.quran.com/qurandictionary.jsp?q=byn</x:v>
      </x:c>
    </x:row>
    <x:row r="67">
      <x:c r="A67" s="60" t="str">
        <x:v>ب ي ن</x:v>
      </x:c>
      <x:c r="B67" s="60" t="str">
        <x:v>P1 — أصول تأسيسية عالية الأثر</x:v>
      </x:c>
      <x:c r="C67" s="60" t="str">
        <x:v>تَسْتَبِينَ</x:v>
      </x:c>
      <x:c r="D67" s="62" t="n">
        <x:v>1</x:v>
      </x:c>
      <x:c r="E67" s="60" t="str">
        <x:v>فعل</x:v>
      </x:c>
      <x:c r="F67" s="60" t="str">
        <x:v>V</x:v>
      </x:c>
      <x:c r="G67" s="60" t="str">
        <x:v>10</x:v>
      </x:c>
      <x:c r="H67" s="62" t="n">
        <x:v>1</x:v>
      </x:c>
      <x:c r="I67" s="60" t="str">
        <x:v>وَلِتَسْتَبِينَ</x:v>
      </x:c>
      <x:c r="J67" s="60" t="str">
        <x:v>6:55:4</x:v>
      </x:c>
      <x:c r="K67" s="60" t="str">
        <x:v>مرشح بنيوي؛ لا تُستنتج الدلالة من اللمة وحدها</x:v>
      </x:c>
      <x:c r="L67" s="60" t="str">
        <x:v>https://corpus.quran.com/qurandictionary.jsp?q=byn</x:v>
      </x:c>
    </x:row>
    <x:row r="68">
      <x:c r="A68" s="60" t="str">
        <x:v>ب ي ن</x:v>
      </x:c>
      <x:c r="B68" s="60" t="str">
        <x:v>P1 — أصول تأسيسية عالية الأثر</x:v>
      </x:c>
      <x:c r="C68" s="60" t="str">
        <x:v>تِبْيان</x:v>
      </x:c>
      <x:c r="D68" s="62" t="n">
        <x:v>1</x:v>
      </x:c>
      <x:c r="E68" s="60" t="str">
        <x:v>اسم</x:v>
      </x:c>
      <x:c r="F68" s="60" t="str">
        <x:v>N</x:v>
      </x:c>
      <x:c r="G68" s="60" t="str">
        <x:v>—</x:v>
      </x:c>
      <x:c r="H68" s="62" t="n">
        <x:v>1</x:v>
      </x:c>
      <x:c r="I68" s="60" t="str">
        <x:v>تِبْيَٰنًا</x:v>
      </x:c>
      <x:c r="J68" s="60" t="str">
        <x:v>16:89:18</x:v>
      </x:c>
      <x:c r="K68" s="60" t="str">
        <x:v>مرشح بنيوي؛ لا تُستنتج الدلالة من اللمة وحدها</x:v>
      </x:c>
      <x:c r="L68" s="60" t="str">
        <x:v>https://corpus.quran.com/qurandictionary.jsp?q=byn</x:v>
      </x:c>
    </x:row>
    <x:row r="69">
      <x:c r="A69" s="60" t="str">
        <x:v>ب ي ن</x:v>
      </x:c>
      <x:c r="B69" s="60" t="str">
        <x:v>P1 — أصول تأسيسية عالية الأثر</x:v>
      </x:c>
      <x:c r="C69" s="60" t="str">
        <x:v>مُسْتَبِين</x:v>
      </x:c>
      <x:c r="D69" s="62" t="n">
        <x:v>1</x:v>
      </x:c>
      <x:c r="E69" s="60" t="str">
        <x:v>اسم</x:v>
      </x:c>
      <x:c r="F69" s="60" t="str">
        <x:v>N</x:v>
      </x:c>
      <x:c r="G69" s="60" t="str">
        <x:v>10</x:v>
      </x:c>
      <x:c r="H69" s="62" t="n">
        <x:v>1</x:v>
      </x:c>
      <x:c r="I69" s="60" t="str">
        <x:v>ٱلْمُسْتَبِينَ</x:v>
      </x:c>
      <x:c r="J69" s="60" t="str">
        <x:v>37:117:3</x:v>
      </x:c>
      <x:c r="K69" s="60" t="str">
        <x:v>مرشح بنيوي؛ لا تُستنتج الدلالة من اللمة وحدها</x:v>
      </x:c>
      <x:c r="L69" s="60" t="str">
        <x:v>https://corpus.quran.com/qurandictionary.jsp?q=byn</x:v>
      </x:c>
    </x:row>
    <x:row r="70">
      <x:c r="A70" s="60" t="str">
        <x:v>ب ي ن</x:v>
      </x:c>
      <x:c r="B70" s="60" t="str">
        <x:v>P1 — أصول تأسيسية عالية الأثر</x:v>
      </x:c>
      <x:c r="C70" s="60" t="str">
        <x:v>يُبِينُ</x:v>
      </x:c>
      <x:c r="D70" s="62" t="n">
        <x:v>1</x:v>
      </x:c>
      <x:c r="E70" s="60" t="str">
        <x:v>فعل</x:v>
      </x:c>
      <x:c r="F70" s="60" t="str">
        <x:v>V</x:v>
      </x:c>
      <x:c r="G70" s="60" t="str">
        <x:v>4</x:v>
      </x:c>
      <x:c r="H70" s="62" t="n">
        <x:v>1</x:v>
      </x:c>
      <x:c r="I70" s="60" t="str">
        <x:v>يُبِينُ</x:v>
      </x:c>
      <x:c r="J70" s="60" t="str">
        <x:v>43:52:11</x:v>
      </x:c>
      <x:c r="K70" s="60" t="str">
        <x:v>مرشح بنيوي؛ لا تُستنتج الدلالة من اللمة وحدها</x:v>
      </x:c>
      <x:c r="L70" s="60" t="str">
        <x:v>https://corpus.quran.com/qurandictionary.jsp?q=byn</x:v>
      </x:c>
    </x:row>
    <x:row r="71">
      <x:c r="A71" s="60" t="str">
        <x:v>ه د ي</x:v>
      </x:c>
      <x:c r="B71" s="60" t="str">
        <x:v>P1 — أصول تأسيسية عالية الأثر</x:v>
      </x:c>
      <x:c r="C71" s="60" t="str">
        <x:v>هَدَى</x:v>
      </x:c>
      <x:c r="D71" s="62" t="n">
        <x:v>144</x:v>
      </x:c>
      <x:c r="E71" s="60" t="str">
        <x:v>فعل</x:v>
      </x:c>
      <x:c r="F71" s="60" t="str">
        <x:v>V</x:v>
      </x:c>
      <x:c r="G71" s="60" t="str">
        <x:v>1</x:v>
      </x:c>
      <x:c r="H71" s="62" t="n">
        <x:v>62</x:v>
      </x:c>
      <x:c r="I71" s="60" t="str">
        <x:v>يَهْدِى، يَهْدِ، وَيَهْدِى، هَدَىٰنَا، هَدَىٰكُمْ</x:v>
      </x:c>
      <x:c r="J71" s="60" t="str">
        <x:v>1:6:1؛ 2:26:32؛ 2:142:16؛ 2:143:34</x:v>
      </x:c>
      <x:c r="K71" s="60" t="str">
        <x:v>مرشح بنيوي؛ لا تُستنتج الدلالة من اللمة وحدها</x:v>
      </x:c>
      <x:c r="L71" s="60" t="str">
        <x:v>https://corpus.quran.com/qurandictionary.jsp?q=hdy</x:v>
      </x:c>
    </x:row>
    <x:row r="72">
      <x:c r="A72" s="60" t="str">
        <x:v>ه د ي</x:v>
      </x:c>
      <x:c r="B72" s="60" t="str">
        <x:v>P1 — أصول تأسيسية عالية الأثر</x:v>
      </x:c>
      <x:c r="C72" s="60" t="str">
        <x:v>هُدًى</x:v>
      </x:c>
      <x:c r="D72" s="62" t="n">
        <x:v>85</x:v>
      </x:c>
      <x:c r="E72" s="60" t="str">
        <x:v>اسم</x:v>
      </x:c>
      <x:c r="F72" s="60" t="str">
        <x:v>N</x:v>
      </x:c>
      <x:c r="G72" s="60" t="str">
        <x:v>—</x:v>
      </x:c>
      <x:c r="H72" s="62" t="n">
        <x:v>14</x:v>
      </x:c>
      <x:c r="I72" s="60" t="str">
        <x:v>هُدًى، وَهُدًى، ٱلْهُدَىٰ، بِٱلْهُدَىٰ، هُدَى</x:v>
      </x:c>
      <x:c r="J72" s="60" t="str">
        <x:v>2:2:6؛ 2:5:3؛ 2:16:5؛ 2:38:8</x:v>
      </x:c>
      <x:c r="K72" s="60" t="str">
        <x:v>مرشح بنيوي؛ لا تُستنتج الدلالة من اللمة وحدها</x:v>
      </x:c>
      <x:c r="L72" s="60" t="str">
        <x:v>https://corpus.quran.com/qurandictionary.jsp?q=hdy</x:v>
      </x:c>
    </x:row>
    <x:row r="73">
      <x:c r="A73" s="60" t="str">
        <x:v>ه د ي</x:v>
      </x:c>
      <x:c r="B73" s="60" t="str">
        <x:v>P1 — أصول تأسيسية عالية الأثر</x:v>
      </x:c>
      <x:c r="C73" s="60" t="str">
        <x:v>اهْتَدَى</x:v>
      </x:c>
      <x:c r="D73" s="62" t="n">
        <x:v>40</x:v>
      </x:c>
      <x:c r="E73" s="60" t="str">
        <x:v>فعل</x:v>
      </x:c>
      <x:c r="F73" s="60" t="str">
        <x:v>V</x:v>
      </x:c>
      <x:c r="G73" s="60" t="str">
        <x:v>8</x:v>
      </x:c>
      <x:c r="H73" s="62" t="n">
        <x:v>15</x:v>
      </x:c>
      <x:c r="I73" s="60" t="str">
        <x:v>يَهْتَدُونَ، ٱهْتَدَىٰ، تَهْتَدُونَ، يَهْتَدِى، تَهْتَدُوا۟</x:v>
      </x:c>
      <x:c r="J73" s="60" t="str">
        <x:v>2:53:7؛ 2:135:6؛ 2:137:8؛ 2:150:31</x:v>
      </x:c>
      <x:c r="K73" s="60" t="str">
        <x:v>مرشح بنيوي؛ لا تُستنتج الدلالة من اللمة وحدها</x:v>
      </x:c>
      <x:c r="L73" s="60" t="str">
        <x:v>https://corpus.quran.com/qurandictionary.jsp?q=hdy</x:v>
      </x:c>
    </x:row>
    <x:row r="74">
      <x:c r="A74" s="60" t="str">
        <x:v>ه د ي</x:v>
      </x:c>
      <x:c r="B74" s="60" t="str">
        <x:v>P1 — أصول تأسيسية عالية الأثر</x:v>
      </x:c>
      <x:c r="C74" s="60" t="str">
        <x:v>مُهْتَدي</x:v>
      </x:c>
      <x:c r="D74" s="62" t="n">
        <x:v>17</x:v>
      </x:c>
      <x:c r="E74" s="60" t="str">
        <x:v>اسم</x:v>
      </x:c>
      <x:c r="F74" s="60" t="str">
        <x:v>N</x:v>
      </x:c>
      <x:c r="G74" s="60" t="str">
        <x:v>8</x:v>
      </x:c>
      <x:c r="H74" s="62" t="n">
        <x:v>6</x:v>
      </x:c>
      <x:c r="I74" s="60" t="str">
        <x:v>مُّهْتَدُونَ، بِٱلْمُهْتَدِينَ، مُهْتَدِينَ، لَمُهْتَدُونَ، ٱلْمُهْتَدِينَ</x:v>
      </x:c>
      <x:c r="J74" s="60" t="str">
        <x:v>2:16:11؛ 2:70:17؛ 2:157:9؛ 6:56:21</x:v>
      </x:c>
      <x:c r="K74" s="60" t="str">
        <x:v>مرشح بنيوي؛ لا تُستنتج الدلالة من اللمة وحدها</x:v>
      </x:c>
      <x:c r="L74" s="60" t="str">
        <x:v>https://corpus.quran.com/qurandictionary.jsp?q=hdy</x:v>
      </x:c>
    </x:row>
    <x:row r="75">
      <x:c r="A75" s="60" t="str">
        <x:v>ه د ي</x:v>
      </x:c>
      <x:c r="B75" s="60" t="str">
        <x:v>P1 — أصول تأسيسية عالية الأثر</x:v>
      </x:c>
      <x:c r="C75" s="60" t="str">
        <x:v>أَهْدَى</x:v>
      </x:c>
      <x:c r="D75" s="62" t="n">
        <x:v>7</x:v>
      </x:c>
      <x:c r="E75" s="60" t="str">
        <x:v>اسم</x:v>
      </x:c>
      <x:c r="F75" s="60" t="str">
        <x:v>N</x:v>
      </x:c>
      <x:c r="G75" s="60" t="str">
        <x:v>—</x:v>
      </x:c>
      <x:c r="H75" s="62" t="n">
        <x:v>3</x:v>
      </x:c>
      <x:c r="I75" s="60" t="str">
        <x:v>أَهْدَىٰ، بِأَهْدَىٰ، أَهْدَىٰٓ</x:v>
      </x:c>
      <x:c r="J75" s="60" t="str">
        <x:v>4:51:16؛ 6:157:9؛ 17:84:10؛ 28:49:8</x:v>
      </x:c>
      <x:c r="K75" s="60" t="str">
        <x:v>مرشح بنيوي؛ لا تُستنتج الدلالة من اللمة وحدها</x:v>
      </x:c>
      <x:c r="L75" s="60" t="str">
        <x:v>https://corpus.quran.com/qurandictionary.jsp?q=hdy</x:v>
      </x:c>
    </x:row>
    <x:row r="76">
      <x:c r="A76" s="60" t="str">
        <x:v>ه د ي</x:v>
      </x:c>
      <x:c r="B76" s="60" t="str">
        <x:v>P1 — أصول تأسيسية عالية الأثر</x:v>
      </x:c>
      <x:c r="C76" s="60" t="str">
        <x:v>هاد</x:v>
      </x:c>
      <x:c r="D76" s="62" t="n">
        <x:v>7</x:v>
      </x:c>
      <x:c r="E76" s="60" t="str">
        <x:v>اسم</x:v>
      </x:c>
      <x:c r="F76" s="60" t="str">
        <x:v>N</x:v>
      </x:c>
      <x:c r="G76" s="60" t="str">
        <x:v>1</x:v>
      </x:c>
      <x:c r="H76" s="62" t="n">
        <x:v>3</x:v>
      </x:c>
      <x:c r="I76" s="60" t="str">
        <x:v>هَادٍ، لَهَادِ، بِهَٰدِ</x:v>
      </x:c>
      <x:c r="J76" s="60" t="str">
        <x:v>13:7:15؛ 13:33:39؛ 22:54:16؛ 30:53:3</x:v>
      </x:c>
      <x:c r="K76" s="60" t="str">
        <x:v>مرشح بنيوي؛ لا تُستنتج الدلالة من اللمة وحدها</x:v>
      </x:c>
      <x:c r="L76" s="60" t="str">
        <x:v>https://corpus.quran.com/qurandictionary.jsp?q=hdy</x:v>
      </x:c>
    </x:row>
    <x:row r="77">
      <x:c r="A77" s="60" t="str">
        <x:v>ه د ي</x:v>
      </x:c>
      <x:c r="B77" s="60" t="str">
        <x:v>P1 — أصول تأسيسية عالية الأثر</x:v>
      </x:c>
      <x:c r="C77" s="60" t="str">
        <x:v>هَدْي</x:v>
      </x:c>
      <x:c r="D77" s="62" t="n">
        <x:v>7</x:v>
      </x:c>
      <x:c r="E77" s="60" t="str">
        <x:v>اسم</x:v>
      </x:c>
      <x:c r="F77" s="60" t="str">
        <x:v>N</x:v>
      </x:c>
      <x:c r="G77" s="60" t="str">
        <x:v>—</x:v>
      </x:c>
      <x:c r="H77" s="62" t="n">
        <x:v>5</x:v>
      </x:c>
      <x:c r="I77" s="60" t="str">
        <x:v>ٱلْهَدْىِ، وَٱلْهَدْىَ، ٱلْهَدْىُ، ٱلْهَدْىَ، هَدْيًۢا</x:v>
      </x:c>
      <x:c r="J77" s="60" t="str">
        <x:v>2:196:10؛ 2:196:16؛ 2:196:44؛ 5:2:12</x:v>
      </x:c>
      <x:c r="K77" s="60" t="str">
        <x:v>مرشح بنيوي؛ لا تُستنتج الدلالة من اللمة وحدها</x:v>
      </x:c>
      <x:c r="L77" s="60" t="str">
        <x:v>https://corpus.quran.com/qurandictionary.jsp?q=hdy</x:v>
      </x:c>
    </x:row>
    <x:row r="78">
      <x:c r="A78" s="60" t="str">
        <x:v>ه د ي</x:v>
      </x:c>
      <x:c r="B78" s="60" t="str">
        <x:v>P1 — أصول تأسيسية عالية الأثر</x:v>
      </x:c>
      <x:c r="C78" s="60" t="str">
        <x:v>مُهْتَد</x:v>
      </x:c>
      <x:c r="D78" s="62" t="n">
        <x:v>3</x:v>
      </x:c>
      <x:c r="E78" s="60" t="str">
        <x:v>اسم</x:v>
      </x:c>
      <x:c r="F78" s="60" t="str">
        <x:v>N</x:v>
      </x:c>
      <x:c r="G78" s="60" t="str">
        <x:v>8</x:v>
      </x:c>
      <x:c r="H78" s="62" t="n">
        <x:v>2</x:v>
      </x:c>
      <x:c r="I78" s="60" t="str">
        <x:v>ٱلْمُهْتَدِ، مُّهْتَدٍ</x:v>
      </x:c>
      <x:c r="J78" s="60" t="str">
        <x:v>17:97:5؛ 18:17:27؛ 57:26:11</x:v>
      </x:c>
      <x:c r="K78" s="60" t="str">
        <x:v>مرشح بنيوي؛ لا تُستنتج الدلالة من اللمة وحدها</x:v>
      </x:c>
      <x:c r="L78" s="60" t="str">
        <x:v>https://corpus.quran.com/qurandictionary.jsp?q=hdy</x:v>
      </x:c>
    </x:row>
    <x:row r="79">
      <x:c r="A79" s="60" t="str">
        <x:v>ه د ي</x:v>
      </x:c>
      <x:c r="B79" s="60" t="str">
        <x:v>P1 — أصول تأسيسية عالية الأثر</x:v>
      </x:c>
      <x:c r="C79" s="60" t="str">
        <x:v>هادِي</x:v>
      </x:c>
      <x:c r="D79" s="62" t="n">
        <x:v>3</x:v>
      </x:c>
      <x:c r="E79" s="60" t="str">
        <x:v>اسم</x:v>
      </x:c>
      <x:c r="F79" s="60" t="str">
        <x:v>N</x:v>
      </x:c>
      <x:c r="G79" s="60" t="str">
        <x:v>1</x:v>
      </x:c>
      <x:c r="H79" s="62" t="n">
        <x:v>3</x:v>
      </x:c>
      <x:c r="I79" s="60" t="str">
        <x:v>هَادِىَ، هَادِيًا، بِهَٰدِى</x:v>
      </x:c>
      <x:c r="J79" s="60" t="str">
        <x:v>7:186:5؛ 25:31:10؛ 27:81:3</x:v>
      </x:c>
      <x:c r="K79" s="60" t="str">
        <x:v>مرشح بنيوي؛ لا تُستنتج الدلالة من اللمة وحدها</x:v>
      </x:c>
      <x:c r="L79" s="60" t="str">
        <x:v>https://corpus.quran.com/qurandictionary.jsp?q=hdy</x:v>
      </x:c>
    </x:row>
    <x:row r="80">
      <x:c r="A80" s="60" t="str">
        <x:v>ه د ي</x:v>
      </x:c>
      <x:c r="B80" s="60" t="str">
        <x:v>P1 — أصول تأسيسية عالية الأثر</x:v>
      </x:c>
      <x:c r="C80" s="60" t="str">
        <x:v>هَدِيَّة</x:v>
      </x:c>
      <x:c r="D80" s="62" t="n">
        <x:v>2</x:v>
      </x:c>
      <x:c r="E80" s="60" t="str">
        <x:v>اسم</x:v>
      </x:c>
      <x:c r="F80" s="60" t="str">
        <x:v>N</x:v>
      </x:c>
      <x:c r="G80" s="60" t="str">
        <x:v>—</x:v>
      </x:c>
      <x:c r="H80" s="62" t="n">
        <x:v>2</x:v>
      </x:c>
      <x:c r="I80" s="60" t="str">
        <x:v>بِهَدِيَّةٍ، بِهَدِيَّتِكُمْ</x:v>
      </x:c>
      <x:c r="J80" s="60" t="str">
        <x:v>27:35:4؛ 27:36:15</x:v>
      </x:c>
      <x:c r="K80" s="60" t="str">
        <x:v>مرشح بنيوي؛ لا تُستنتج الدلالة من اللمة وحدها</x:v>
      </x:c>
      <x:c r="L80" s="60" t="str">
        <x:v>https://corpus.quran.com/qurandictionary.jsp?q=hdy</x:v>
      </x:c>
    </x:row>
    <x:row r="81">
      <x:c r="A81" s="60" t="str">
        <x:v>ه د ي</x:v>
      </x:c>
      <x:c r="B81" s="60" t="str">
        <x:v>P1 — أصول تأسيسية عالية الأثر</x:v>
      </x:c>
      <x:c r="C81" s="60" t="str">
        <x:v>مُهْتَدِي</x:v>
      </x:c>
      <x:c r="D81" s="62" t="n">
        <x:v>1</x:v>
      </x:c>
      <x:c r="E81" s="60" t="str">
        <x:v>اسم</x:v>
      </x:c>
      <x:c r="F81" s="60" t="str">
        <x:v>N</x:v>
      </x:c>
      <x:c r="G81" s="60" t="str">
        <x:v>8</x:v>
      </x:c>
      <x:c r="H81" s="62" t="n">
        <x:v>1</x:v>
      </x:c>
      <x:c r="I81" s="60" t="str">
        <x:v>ٱلْمُهْتَدِى</x:v>
      </x:c>
      <x:c r="J81" s="60" t="str">
        <x:v>7:178:5</x:v>
      </x:c>
      <x:c r="K81" s="60" t="str">
        <x:v>مرشح بنيوي؛ لا تُستنتج الدلالة من اللمة وحدها</x:v>
      </x:c>
      <x:c r="L81" s="60" t="str">
        <x:v>https://corpus.quran.com/qurandictionary.jsp?q=hdy</x:v>
      </x:c>
    </x:row>
    <x:row r="82">
      <x:c r="A82" s="60" t="str">
        <x:v>ظ ل م</x:v>
      </x:c>
      <x:c r="B82" s="60" t="str">
        <x:v>P1 — أصول تأسيسية عالية الأثر</x:v>
      </x:c>
      <x:c r="C82" s="60" t="str">
        <x:v>ظالِم</x:v>
      </x:c>
      <x:c r="D82" s="62" t="n">
        <x:v>129</x:v>
      </x:c>
      <x:c r="E82" s="60" t="str">
        <x:v>اسم</x:v>
      </x:c>
      <x:c r="F82" s="60" t="str">
        <x:v>N</x:v>
      </x:c>
      <x:c r="G82" s="60" t="str">
        <x:v>1</x:v>
      </x:c>
      <x:c r="H82" s="62" t="n">
        <x:v>15</x:v>
      </x:c>
      <x:c r="I82" s="60" t="str">
        <x:v>ٱلظَّٰلِمِينَ، ٱلظَّٰلِمُونَ، لِلظَّٰلِمِينَ، ظَٰلِمِينَ، ظَٰلِمُونَ</x:v>
      </x:c>
      <x:c r="J82" s="60" t="str">
        <x:v>2:35:18؛ 2:51:12؛ 2:92:11؛ 2:95:9</x:v>
      </x:c>
      <x:c r="K82" s="60" t="str">
        <x:v>مرشح بنيوي؛ لا تُستنتج الدلالة من اللمة وحدها</x:v>
      </x:c>
      <x:c r="L82" s="60" t="str">
        <x:v>https://corpus.quran.com/qurandictionary.jsp?q=Zlm</x:v>
      </x:c>
    </x:row>
    <x:row r="83">
      <x:c r="A83" s="60" t="str">
        <x:v>ظ ل م</x:v>
      </x:c>
      <x:c r="B83" s="60" t="str">
        <x:v>P1 — أصول تأسيسية عالية الأثر</x:v>
      </x:c>
      <x:c r="C83" s="60" t="str">
        <x:v>ظَلَمَ</x:v>
      </x:c>
      <x:c r="D83" s="62" t="n">
        <x:v>110</x:v>
      </x:c>
      <x:c r="E83" s="60" t="str">
        <x:v>فعل</x:v>
      </x:c>
      <x:c r="F83" s="60" t="str">
        <x:v>V</x:v>
      </x:c>
      <x:c r="G83" s="60" t="str">
        <x:v>1</x:v>
      </x:c>
      <x:c r="H83" s="62" t="n">
        <x:v>29</x:v>
      </x:c>
      <x:c r="I83" s="60" t="str">
        <x:v>ظَلَمُوا۟، يُظْلَمُونَ، يَظْلِمُونَ، ظَلَمُوٓا۟، ظَلَمَ</x:v>
      </x:c>
      <x:c r="J83" s="60" t="str">
        <x:v>2:54:7؛ 2:57:14؛ 2:57:18؛ 2:59:3</x:v>
      </x:c>
      <x:c r="K83" s="60" t="str">
        <x:v>مرشح بنيوي؛ لا تُستنتج الدلالة من اللمة وحدها</x:v>
      </x:c>
      <x:c r="L83" s="60" t="str">
        <x:v>https://corpus.quran.com/qurandictionary.jsp?q=Zlm</x:v>
      </x:c>
    </x:row>
    <x:row r="84">
      <x:c r="A84" s="60" t="str">
        <x:v>ظ ل م</x:v>
      </x:c>
      <x:c r="B84" s="60" t="str">
        <x:v>P1 — أصول تأسيسية عالية الأثر</x:v>
      </x:c>
      <x:c r="C84" s="60" t="str">
        <x:v>ظُلُمَة</x:v>
      </x:c>
      <x:c r="D84" s="62" t="n">
        <x:v>23</x:v>
      </x:c>
      <x:c r="E84" s="60" t="str">
        <x:v>اسم</x:v>
      </x:c>
      <x:c r="F84" s="60" t="str">
        <x:v>N</x:v>
      </x:c>
      <x:c r="G84" s="60" t="str">
        <x:v>—</x:v>
      </x:c>
      <x:c r="H84" s="62" t="n">
        <x:v>7</x:v>
      </x:c>
      <x:c r="I84" s="60" t="str">
        <x:v>ٱلظُّلُمَٰتِ، ظُلُمَٰتِ، ظُلُمَٰتٍ، ٱلظُّلُمَٰتُ، ظُلُمَٰتٌ</x:v>
      </x:c>
      <x:c r="J84" s="60" t="str">
        <x:v>2:17:15؛ 2:19:6؛ 2:257:7؛ 2:257:18</x:v>
      </x:c>
      <x:c r="K84" s="60" t="str">
        <x:v>مرشح بنيوي؛ لا تُستنتج الدلالة من اللمة وحدها</x:v>
      </x:c>
      <x:c r="L84" s="60" t="str">
        <x:v>https://corpus.quran.com/qurandictionary.jsp?q=Zlm</x:v>
      </x:c>
    </x:row>
    <x:row r="85">
      <x:c r="A85" s="60" t="str">
        <x:v>ظ ل م</x:v>
      </x:c>
      <x:c r="B85" s="60" t="str">
        <x:v>P1 — أصول تأسيسية عالية الأثر</x:v>
      </x:c>
      <x:c r="C85" s="60" t="str">
        <x:v>ظُلْم</x:v>
      </x:c>
      <x:c r="D85" s="62" t="n">
        <x:v>20</x:v>
      </x:c>
      <x:c r="E85" s="60" t="str">
        <x:v>اسم</x:v>
      </x:c>
      <x:c r="F85" s="60" t="str">
        <x:v>N</x:v>
      </x:c>
      <x:c r="G85" s="60" t="str">
        <x:v>—</x:v>
      </x:c>
      <x:c r="H85" s="62" t="n">
        <x:v>10</x:v>
      </x:c>
      <x:c r="I85" s="60" t="str">
        <x:v>ظُلْمًا، بِظُلْمٍ، ظُلْمِهِۦ، وَظُلْمًا، بِظُلْمِهِمْ</x:v>
      </x:c>
      <x:c r="J85" s="60" t="str">
        <x:v>3:108:10؛ 4:10:6؛ 4:30:5؛ 4:153:22</x:v>
      </x:c>
      <x:c r="K85" s="60" t="str">
        <x:v>مرشح بنيوي؛ لا تُستنتج الدلالة من اللمة وحدها</x:v>
      </x:c>
      <x:c r="L85" s="60" t="str">
        <x:v>https://corpus.quran.com/qurandictionary.jsp?q=Zlm</x:v>
      </x:c>
    </x:row>
    <x:row r="86">
      <x:c r="A86" s="60" t="str">
        <x:v>ظ ل م</x:v>
      </x:c>
      <x:c r="B86" s="60" t="str">
        <x:v>P1 — أصول تأسيسية عالية الأثر</x:v>
      </x:c>
      <x:c r="C86" s="60" t="str">
        <x:v>أَظْلَم</x:v>
      </x:c>
      <x:c r="D86" s="62" t="n">
        <x:v>16</x:v>
      </x:c>
      <x:c r="E86" s="60" t="str">
        <x:v>اسم</x:v>
      </x:c>
      <x:c r="F86" s="60" t="str">
        <x:v>N</x:v>
      </x:c>
      <x:c r="G86" s="60" t="str">
        <x:v>—</x:v>
      </x:c>
      <x:c r="H86" s="62" t="n">
        <x:v>2</x:v>
      </x:c>
      <x:c r="I86" s="60" t="str">
        <x:v>أَظْلَمُ، أَظْلَمَ</x:v>
      </x:c>
      <x:c r="J86" s="60" t="str">
        <x:v>2:114:2؛ 2:140:19؛ 6:21:2؛ 6:93:2</x:v>
      </x:c>
      <x:c r="K86" s="60" t="str">
        <x:v>مرشح بنيوي؛ لا تُستنتج الدلالة من اللمة وحدها</x:v>
      </x:c>
      <x:c r="L86" s="60" t="str">
        <x:v>https://corpus.quran.com/qurandictionary.jsp?q=Zlm</x:v>
      </x:c>
    </x:row>
    <x:row r="87">
      <x:c r="A87" s="60" t="str">
        <x:v>ظ ل م</x:v>
      </x:c>
      <x:c r="B87" s="60" t="str">
        <x:v>P1 — أصول تأسيسية عالية الأثر</x:v>
      </x:c>
      <x:c r="C87" s="60" t="str">
        <x:v>ظَلّام</x:v>
      </x:c>
      <x:c r="D87" s="62" t="n">
        <x:v>5</x:v>
      </x:c>
      <x:c r="E87" s="60" t="str">
        <x:v>اسم</x:v>
      </x:c>
      <x:c r="F87" s="60" t="str">
        <x:v>N</x:v>
      </x:c>
      <x:c r="G87" s="60" t="str">
        <x:v>—</x:v>
      </x:c>
      <x:c r="H87" s="62" t="n">
        <x:v>2</x:v>
      </x:c>
      <x:c r="I87" s="60" t="str">
        <x:v>بِظَلَّٰمٍ، بِظَلَّامٍ</x:v>
      </x:c>
      <x:c r="J87" s="60" t="str">
        <x:v>3:182:8؛ 8:51:8؛ 22:10:8؛ 41:46:10</x:v>
      </x:c>
      <x:c r="K87" s="60" t="str">
        <x:v>مرشح بنيوي؛ لا تُستنتج الدلالة من اللمة وحدها</x:v>
      </x:c>
      <x:c r="L87" s="60" t="str">
        <x:v>https://corpus.quran.com/qurandictionary.jsp?q=Zlm</x:v>
      </x:c>
    </x:row>
    <x:row r="88">
      <x:c r="A88" s="60" t="str">
        <x:v>ظ ل م</x:v>
      </x:c>
      <x:c r="B88" s="60" t="str">
        <x:v>P1 — أصول تأسيسية عالية الأثر</x:v>
      </x:c>
      <x:c r="C88" s="60" t="str">
        <x:v>ظالِمَة</x:v>
      </x:c>
      <x:c r="D88" s="62" t="n">
        <x:v>4</x:v>
      </x:c>
      <x:c r="E88" s="60" t="str">
        <x:v>اسم</x:v>
      </x:c>
      <x:c r="F88" s="60" t="str">
        <x:v>N</x:v>
      </x:c>
      <x:c r="G88" s="60" t="str">
        <x:v>1</x:v>
      </x:c>
      <x:c r="H88" s="62" t="n">
        <x:v>3</x:v>
      </x:c>
      <x:c r="I88" s="60" t="str">
        <x:v>ظَالِمَةٌ، ظَٰلِمَةٌ، ظَالِمَةً</x:v>
      </x:c>
      <x:c r="J88" s="60" t="str">
        <x:v>11:102:8؛ 21:11:6؛ 22:45:6؛ 22:48:7</x:v>
      </x:c>
      <x:c r="K88" s="60" t="str">
        <x:v>مرشح بنيوي؛ لا تُستنتج الدلالة من اللمة وحدها</x:v>
      </x:c>
      <x:c r="L88" s="60" t="str">
        <x:v>https://corpus.quran.com/qurandictionary.jsp?q=Zlm</x:v>
      </x:c>
    </x:row>
    <x:row r="89">
      <x:c r="A89" s="60" t="str">
        <x:v>ظ ل م</x:v>
      </x:c>
      <x:c r="B89" s="60" t="str">
        <x:v>P1 — أصول تأسيسية عالية الأثر</x:v>
      </x:c>
      <x:c r="C89" s="60" t="str">
        <x:v>ظالِمِي</x:v>
      </x:c>
      <x:c r="D89" s="62" t="n">
        <x:v>2</x:v>
      </x:c>
      <x:c r="E89" s="60" t="str">
        <x:v>اسم</x:v>
      </x:c>
      <x:c r="F89" s="60" t="str">
        <x:v>N</x:v>
      </x:c>
      <x:c r="G89" s="60" t="str">
        <x:v>—</x:v>
      </x:c>
      <x:c r="H89" s="62" t="n">
        <x:v>1</x:v>
      </x:c>
      <x:c r="I89" s="60" t="str">
        <x:v>ظَالِمِىٓ</x:v>
      </x:c>
      <x:c r="J89" s="60" t="str">
        <x:v>4:97:5؛ 16:28:4</x:v>
      </x:c>
      <x:c r="K89" s="60" t="str">
        <x:v>مرشح بنيوي؛ لا تُستنتج الدلالة من اللمة وحدها</x:v>
      </x:c>
      <x:c r="L89" s="60" t="str">
        <x:v>https://corpus.quran.com/qurandictionary.jsp?q=Zlm</x:v>
      </x:c>
    </x:row>
    <x:row r="90">
      <x:c r="A90" s="60" t="str">
        <x:v>ظ ل م</x:v>
      </x:c>
      <x:c r="B90" s="60" t="str">
        <x:v>P1 — أصول تأسيسية عالية الأثر</x:v>
      </x:c>
      <x:c r="C90" s="60" t="str">
        <x:v>ظَلُوم</x:v>
      </x:c>
      <x:c r="D90" s="62" t="n">
        <x:v>2</x:v>
      </x:c>
      <x:c r="E90" s="60" t="str">
        <x:v>اسم</x:v>
      </x:c>
      <x:c r="F90" s="60" t="str">
        <x:v>N</x:v>
      </x:c>
      <x:c r="G90" s="60" t="str">
        <x:v>—</x:v>
      </x:c>
      <x:c r="H90" s="62" t="n">
        <x:v>2</x:v>
      </x:c>
      <x:c r="I90" s="60" t="str">
        <x:v>لَظَلُومٌ، ظَلُومًا</x:v>
      </x:c>
      <x:c r="J90" s="60" t="str">
        <x:v>14:34:14؛ 33:72:17</x:v>
      </x:c>
      <x:c r="K90" s="60" t="str">
        <x:v>مرشح بنيوي؛ لا تُستنتج الدلالة من اللمة وحدها</x:v>
      </x:c>
      <x:c r="L90" s="60" t="str">
        <x:v>https://corpus.quran.com/qurandictionary.jsp?q=Zlm</x:v>
      </x:c>
    </x:row>
    <x:row r="91">
      <x:c r="A91" s="60" t="str">
        <x:v>ظ ل م</x:v>
      </x:c>
      <x:c r="B91" s="60" t="str">
        <x:v>P1 — أصول تأسيسية عالية الأثر</x:v>
      </x:c>
      <x:c r="C91" s="60" t="str">
        <x:v>مُظْلِم</x:v>
      </x:c>
      <x:c r="D91" s="62" t="n">
        <x:v>2</x:v>
      </x:c>
      <x:c r="E91" s="60" t="str">
        <x:v>اسم</x:v>
      </x:c>
      <x:c r="F91" s="60" t="str">
        <x:v>N</x:v>
      </x:c>
      <x:c r="G91" s="60" t="str">
        <x:v>4</x:v>
      </x:c>
      <x:c r="H91" s="62" t="n">
        <x:v>2</x:v>
      </x:c>
      <x:c r="I91" s="60" t="str">
        <x:v>مُظْلِمًا، مُّظْلِمُونَ</x:v>
      </x:c>
      <x:c r="J91" s="60" t="str">
        <x:v>10:27:21؛ 36:37:9</x:v>
      </x:c>
      <x:c r="K91" s="60" t="str">
        <x:v>مرشح بنيوي؛ لا تُستنتج الدلالة من اللمة وحدها</x:v>
      </x:c>
      <x:c r="L91" s="60" t="str">
        <x:v>https://corpus.quran.com/qurandictionary.jsp?q=Zlm</x:v>
      </x:c>
    </x:row>
    <x:row r="92">
      <x:c r="A92" s="60" t="str">
        <x:v>ظ ل م</x:v>
      </x:c>
      <x:c r="B92" s="60" t="str">
        <x:v>P1 — أصول تأسيسية عالية الأثر</x:v>
      </x:c>
      <x:c r="C92" s="60" t="str">
        <x:v>أَظْلَمَ</x:v>
      </x:c>
      <x:c r="D92" s="62" t="n">
        <x:v>1</x:v>
      </x:c>
      <x:c r="E92" s="60" t="str">
        <x:v>فعل</x:v>
      </x:c>
      <x:c r="F92" s="60" t="str">
        <x:v>V</x:v>
      </x:c>
      <x:c r="G92" s="60" t="str">
        <x:v>4</x:v>
      </x:c>
      <x:c r="H92" s="62" t="n">
        <x:v>1</x:v>
      </x:c>
      <x:c r="I92" s="60" t="str">
        <x:v>أَظْلَمَ</x:v>
      </x:c>
      <x:c r="J92" s="60" t="str">
        <x:v>2:20:11</x:v>
      </x:c>
      <x:c r="K92" s="60" t="str">
        <x:v>مرشح بنيوي؛ لا تُستنتج الدلالة من اللمة وحدها</x:v>
      </x:c>
      <x:c r="L92" s="60" t="str">
        <x:v>https://corpus.quran.com/qurandictionary.jsp?q=Zlm</x:v>
      </x:c>
    </x:row>
    <x:row r="93">
      <x:c r="A93" s="60" t="str">
        <x:v>ظ ل م</x:v>
      </x:c>
      <x:c r="B93" s="60" t="str">
        <x:v>P1 — أصول تأسيسية عالية الأثر</x:v>
      </x:c>
      <x:c r="C93" s="60" t="str">
        <x:v>مَظْلُوم</x:v>
      </x:c>
      <x:c r="D93" s="62" t="n">
        <x:v>1</x:v>
      </x:c>
      <x:c r="E93" s="60" t="str">
        <x:v>اسم</x:v>
      </x:c>
      <x:c r="F93" s="60" t="str">
        <x:v>N</x:v>
      </x:c>
      <x:c r="G93" s="60" t="str">
        <x:v>1</x:v>
      </x:c>
      <x:c r="H93" s="62" t="n">
        <x:v>1</x:v>
      </x:c>
      <x:c r="I93" s="60" t="str">
        <x:v>مَظْلُومًا</x:v>
      </x:c>
      <x:c r="J93" s="60" t="str">
        <x:v>17:33:11</x:v>
      </x:c>
      <x:c r="K93" s="60" t="str">
        <x:v>مرشح بنيوي؛ لا تُستنتج الدلالة من اللمة وحدها</x:v>
      </x:c>
      <x:c r="L93" s="60" t="str">
        <x:v>https://corpus.quran.com/qurandictionary.jsp?q=Zlm</x:v>
      </x:c>
    </x:row>
    <x:row r="94">
      <x:c r="A94" s="60" t="str">
        <x:v>ح ك م</x:v>
      </x:c>
      <x:c r="B94" s="60" t="str">
        <x:v>P1 — أصول تأسيسية عالية الأثر</x:v>
      </x:c>
      <x:c r="C94" s="60" t="str">
        <x:v>حَكِيم</x:v>
      </x:c>
      <x:c r="D94" s="62" t="n">
        <x:v>97</x:v>
      </x:c>
      <x:c r="E94" s="60" t="str">
        <x:v>اسم</x:v>
      </x:c>
      <x:c r="F94" s="60" t="str">
        <x:v>N</x:v>
      </x:c>
      <x:c r="G94" s="60" t="str">
        <x:v>—</x:v>
      </x:c>
      <x:c r="H94" s="62" t="n">
        <x:v>5</x:v>
      </x:c>
      <x:c r="I94" s="60" t="str">
        <x:v>حَكِيمٌ، ٱلْحَكِيمُ، حَكِيمًا، ٱلْحَكِيمِ، حَكِيمٍ</x:v>
      </x:c>
      <x:c r="J94" s="60" t="str">
        <x:v>2:32:12؛ 2:129:16؛ 2:209:12؛ 2:220:26</x:v>
      </x:c>
      <x:c r="K94" s="60" t="str">
        <x:v>مرشح بنيوي؛ لا تُستنتج الدلالة من اللمة وحدها</x:v>
      </x:c>
      <x:c r="L94" s="60" t="str">
        <x:v>https://corpus.quran.com/qurandictionary.jsp?q=Hkm</x:v>
      </x:c>
    </x:row>
    <x:row r="95">
      <x:c r="A95" s="60" t="str">
        <x:v>ح ك م</x:v>
      </x:c>
      <x:c r="B95" s="60" t="str">
        <x:v>P1 — أصول تأسيسية عالية الأثر</x:v>
      </x:c>
      <x:c r="C95" s="60" t="str">
        <x:v>حَكَمَ</x:v>
      </x:c>
      <x:c r="D95" s="62" t="n">
        <x:v>45</x:v>
      </x:c>
      <x:c r="E95" s="60" t="str">
        <x:v>فعل</x:v>
      </x:c>
      <x:c r="F95" s="60" t="str">
        <x:v>V</x:v>
      </x:c>
      <x:c r="G95" s="60" t="str">
        <x:v>1</x:v>
      </x:c>
      <x:c r="H95" s="62" t="n">
        <x:v>18</x:v>
      </x:c>
      <x:c r="I95" s="60" t="str">
        <x:v>يَحْكُمُ، فَٱحْكُم، لِيَحْكُمَ، يَحْكُمُونَ، تَحْكُمُونَ</x:v>
      </x:c>
      <x:c r="J95" s="60" t="str">
        <x:v>2:113:24؛ 2:213:14؛ 3:23:13؛ 3:55:25</x:v>
      </x:c>
      <x:c r="K95" s="60" t="str">
        <x:v>مرشح بنيوي؛ لا تُستنتج الدلالة من اللمة وحدها</x:v>
      </x:c>
      <x:c r="L95" s="60" t="str">
        <x:v>https://corpus.quran.com/qurandictionary.jsp?q=Hkm</x:v>
      </x:c>
    </x:row>
    <x:row r="96">
      <x:c r="A96" s="60" t="str">
        <x:v>ح ك م</x:v>
      </x:c>
      <x:c r="B96" s="60" t="str">
        <x:v>P1 — أصول تأسيسية عالية الأثر</x:v>
      </x:c>
      <x:c r="C96" s="60" t="str">
        <x:v>حُكْم</x:v>
      </x:c>
      <x:c r="D96" s="62" t="n">
        <x:v>30</x:v>
      </x:c>
      <x:c r="E96" s="60" t="str">
        <x:v>اسم</x:v>
      </x:c>
      <x:c r="F96" s="60" t="str">
        <x:v>N</x:v>
      </x:c>
      <x:c r="G96" s="60" t="str">
        <x:v>—</x:v>
      </x:c>
      <x:c r="H96" s="62" t="n">
        <x:v>13</x:v>
      </x:c>
      <x:c r="I96" s="60" t="str">
        <x:v>حُكْمًا، ٱلْحُكْمُ، وَٱلْحُكْمَ، لِحُكْمِ، حُكْمُ</x:v>
      </x:c>
      <x:c r="J96" s="60" t="str">
        <x:v>3:79:8؛ 5:43:6؛ 5:50:1؛ 5:50:8</x:v>
      </x:c>
      <x:c r="K96" s="60" t="str">
        <x:v>مرشح بنيوي؛ لا تُستنتج الدلالة من اللمة وحدها</x:v>
      </x:c>
      <x:c r="L96" s="60" t="str">
        <x:v>https://corpus.quran.com/qurandictionary.jsp?q=Hkm</x:v>
      </x:c>
    </x:row>
    <x:row r="97">
      <x:c r="A97" s="60" t="str">
        <x:v>ح ك م</x:v>
      </x:c>
      <x:c r="B97" s="60" t="str">
        <x:v>P1 — أصول تأسيسية عالية الأثر</x:v>
      </x:c>
      <x:c r="C97" s="60" t="str">
        <x:v>حِكْمَة</x:v>
      </x:c>
      <x:c r="D97" s="62" t="n">
        <x:v>20</x:v>
      </x:c>
      <x:c r="E97" s="60" t="str">
        <x:v>اسم</x:v>
      </x:c>
      <x:c r="F97" s="60" t="str">
        <x:v>N</x:v>
      </x:c>
      <x:c r="G97" s="60" t="str">
        <x:v>—</x:v>
      </x:c>
      <x:c r="H97" s="62" t="n">
        <x:v>7</x:v>
      </x:c>
      <x:c r="I97" s="60" t="str">
        <x:v>وَٱلْحِكْمَةَ، ٱلْحِكْمَةَ، وَٱلْحِكْمَةِ، بِٱلْحِكْمَةِ، وَحِكْمَةٍ</x:v>
      </x:c>
      <x:c r="J97" s="60" t="str">
        <x:v>2:129:11؛ 2:151:12؛ 2:231:35؛ 2:251:10</x:v>
      </x:c>
      <x:c r="K97" s="60" t="str">
        <x:v>مرشح بنيوي؛ لا تُستنتج الدلالة من اللمة وحدها</x:v>
      </x:c>
      <x:c r="L97" s="60" t="str">
        <x:v>https://corpus.quran.com/qurandictionary.jsp?q=Hkm</x:v>
      </x:c>
    </x:row>
    <x:row r="98">
      <x:c r="A98" s="60" t="str">
        <x:v>ح ك م</x:v>
      </x:c>
      <x:c r="B98" s="60" t="str">
        <x:v>P1 — أصول تأسيسية عالية الأثر</x:v>
      </x:c>
      <x:c r="C98" s="60" t="str">
        <x:v>حاكِم</x:v>
      </x:c>
      <x:c r="D98" s="62" t="n">
        <x:v>5</x:v>
      </x:c>
      <x:c r="E98" s="60" t="str">
        <x:v>اسم</x:v>
      </x:c>
      <x:c r="F98" s="60" t="str">
        <x:v>N</x:v>
      </x:c>
      <x:c r="G98" s="60" t="str">
        <x:v>1</x:v>
      </x:c>
      <x:c r="H98" s="62" t="n">
        <x:v>1</x:v>
      </x:c>
      <x:c r="I98" s="60" t="str">
        <x:v>ٱلْحَٰكِمِينَ</x:v>
      </x:c>
      <x:c r="J98" s="60" t="str">
        <x:v>7:87:19؛ 10:109:11؛ 11:45:15؛ 12:80:37</x:v>
      </x:c>
      <x:c r="K98" s="60" t="str">
        <x:v>مرشح بنيوي؛ لا تُستنتج الدلالة من اللمة وحدها</x:v>
      </x:c>
      <x:c r="L98" s="60" t="str">
        <x:v>https://corpus.quran.com/qurandictionary.jsp?q=Hkm</x:v>
      </x:c>
    </x:row>
    <x:row r="99">
      <x:c r="A99" s="60" t="str">
        <x:v>ح ك م</x:v>
      </x:c>
      <x:c r="B99" s="60" t="str">
        <x:v>P1 — أصول تأسيسية عالية الأثر</x:v>
      </x:c>
      <x:c r="C99" s="60" t="str">
        <x:v>حَكَم</x:v>
      </x:c>
      <x:c r="D99" s="62" t="n">
        <x:v>3</x:v>
      </x:c>
      <x:c r="E99" s="60" t="str">
        <x:v>اسم</x:v>
      </x:c>
      <x:c r="F99" s="60" t="str">
        <x:v>N</x:v>
      </x:c>
      <x:c r="G99" s="60" t="str">
        <x:v>—</x:v>
      </x:c>
      <x:c r="H99" s="62" t="n">
        <x:v>2</x:v>
      </x:c>
      <x:c r="I99" s="60" t="str">
        <x:v>حَكَمًا، وَحَكَمًا</x:v>
      </x:c>
      <x:c r="J99" s="60" t="str">
        <x:v>4:35:6؛ 4:35:9؛ 6:114:4</x:v>
      </x:c>
      <x:c r="K99" s="60" t="str">
        <x:v>مرشح بنيوي؛ لا تُستنتج الدلالة من اللمة وحدها</x:v>
      </x:c>
      <x:c r="L99" s="60" t="str">
        <x:v>https://corpus.quran.com/qurandictionary.jsp?q=Hkm</x:v>
      </x:c>
    </x:row>
    <x:row r="100">
      <x:c r="A100" s="60" t="str">
        <x:v>ح ك م</x:v>
      </x:c>
      <x:c r="B100" s="60" t="str">
        <x:v>P1 — أصول تأسيسية عالية الأثر</x:v>
      </x:c>
      <x:c r="C100" s="60" t="str">
        <x:v>أَحْكَم</x:v>
      </x:c>
      <x:c r="D100" s="62" t="n">
        <x:v>2</x:v>
      </x:c>
      <x:c r="E100" s="60" t="str">
        <x:v>اسم</x:v>
      </x:c>
      <x:c r="F100" s="60" t="str">
        <x:v>N</x:v>
      </x:c>
      <x:c r="G100" s="60" t="str">
        <x:v>—</x:v>
      </x:c>
      <x:c r="H100" s="62" t="n">
        <x:v>2</x:v>
      </x:c>
      <x:c r="I100" s="60" t="str">
        <x:v>أَحْكَمُ، بِأَحْكَمِ</x:v>
      </x:c>
      <x:c r="J100" s="60" t="str">
        <x:v>11:45:14؛ 95:8:3</x:v>
      </x:c>
      <x:c r="K100" s="60" t="str">
        <x:v>مرشح بنيوي؛ لا تُستنتج الدلالة من اللمة وحدها</x:v>
      </x:c>
      <x:c r="L100" s="60" t="str">
        <x:v>https://corpus.quran.com/qurandictionary.jsp?q=Hkm</x:v>
      </x:c>
    </x:row>
    <x:row r="101">
      <x:c r="A101" s="60" t="str">
        <x:v>ح ك م</x:v>
      </x:c>
      <x:c r="B101" s="60" t="str">
        <x:v>P1 — أصول تأسيسية عالية الأثر</x:v>
      </x:c>
      <x:c r="C101" s="60" t="str">
        <x:v>أُحْكِمَتْ</x:v>
      </x:c>
      <x:c r="D101" s="62" t="n">
        <x:v>2</x:v>
      </x:c>
      <x:c r="E101" s="60" t="str">
        <x:v>فعل</x:v>
      </x:c>
      <x:c r="F101" s="60" t="str">
        <x:v>V</x:v>
      </x:c>
      <x:c r="G101" s="60" t="str">
        <x:v>4</x:v>
      </x:c>
      <x:c r="H101" s="62" t="n">
        <x:v>2</x:v>
      </x:c>
      <x:c r="I101" s="60" t="str">
        <x:v>أُحْكِمَتْ، يُحْكِمُ</x:v>
      </x:c>
      <x:c r="J101" s="60" t="str">
        <x:v>11:1:3؛ 22:52:22</x:v>
      </x:c>
      <x:c r="K101" s="60" t="str">
        <x:v>مرشح بنيوي؛ لا تُستنتج الدلالة من اللمة وحدها</x:v>
      </x:c>
      <x:c r="L101" s="60" t="str">
        <x:v>https://corpus.quran.com/qurandictionary.jsp?q=Hkm</x:v>
      </x:c>
    </x:row>
    <x:row r="102">
      <x:c r="A102" s="60" t="str">
        <x:v>ح ك م</x:v>
      </x:c>
      <x:c r="B102" s="60" t="str">
        <x:v>P1 — أصول تأسيسية عالية الأثر</x:v>
      </x:c>
      <x:c r="C102" s="60" t="str">
        <x:v>مُحْكَمَة</x:v>
      </x:c>
      <x:c r="D102" s="62" t="n">
        <x:v>2</x:v>
      </x:c>
      <x:c r="E102" s="60" t="str">
        <x:v>اسم</x:v>
      </x:c>
      <x:c r="F102" s="60" t="str">
        <x:v>N</x:v>
      </x:c>
      <x:c r="G102" s="60" t="str">
        <x:v>4</x:v>
      </x:c>
      <x:c r="H102" s="62" t="n">
        <x:v>2</x:v>
      </x:c>
      <x:c r="I102" s="60" t="str">
        <x:v>مُّحْكَمَٰتٌ، مُّحْكَمَةٌ</x:v>
      </x:c>
      <x:c r="J102" s="60" t="str">
        <x:v>3:7:8؛ 47:20:10</x:v>
      </x:c>
      <x:c r="K102" s="60" t="str">
        <x:v>مرشح بنيوي؛ لا تُستنتج الدلالة من اللمة وحدها</x:v>
      </x:c>
      <x:c r="L102" s="60" t="str">
        <x:v>https://corpus.quran.com/qurandictionary.jsp?q=Hkm</x:v>
      </x:c>
    </x:row>
    <x:row r="103">
      <x:c r="A103" s="60" t="str">
        <x:v>ح ك م</x:v>
      </x:c>
      <x:c r="B103" s="60" t="str">
        <x:v>P1 — أصول تأسيسية عالية الأثر</x:v>
      </x:c>
      <x:c r="C103" s="60" t="str">
        <x:v>يُحَكِّمُ</x:v>
      </x:c>
      <x:c r="D103" s="62" t="n">
        <x:v>2</x:v>
      </x:c>
      <x:c r="E103" s="60" t="str">
        <x:v>فعل</x:v>
      </x:c>
      <x:c r="F103" s="60" t="str">
        <x:v>V</x:v>
      </x:c>
      <x:c r="G103" s="60" t="str">
        <x:v>2</x:v>
      </x:c>
      <x:c r="H103" s="62" t="n">
        <x:v>2</x:v>
      </x:c>
      <x:c r="I103" s="60" t="str">
        <x:v>يُحَكِّمُوكَ، يُحَكِّمُونَكَ</x:v>
      </x:c>
      <x:c r="J103" s="60" t="str">
        <x:v>4:65:6؛ 5:43:2</x:v>
      </x:c>
      <x:c r="K103" s="60" t="str">
        <x:v>مرشح بنيوي؛ لا تُستنتج الدلالة من اللمة وحدها</x:v>
      </x:c>
      <x:c r="L103" s="60" t="str">
        <x:v>https://corpus.quran.com/qurandictionary.jsp?q=Hkm</x:v>
      </x:c>
    </x:row>
    <x:row r="104">
      <x:c r="A104" s="60" t="str">
        <x:v>ح ك م</x:v>
      </x:c>
      <x:c r="B104" s="60" t="str">
        <x:v>P1 — أصول تأسيسية عالية الأثر</x:v>
      </x:c>
      <x:c r="C104" s="60" t="str">
        <x:v>حُكّام</x:v>
      </x:c>
      <x:c r="D104" s="62" t="n">
        <x:v>1</x:v>
      </x:c>
      <x:c r="E104" s="60" t="str">
        <x:v>اسم</x:v>
      </x:c>
      <x:c r="F104" s="60" t="str">
        <x:v>N</x:v>
      </x:c>
      <x:c r="G104" s="60" t="str">
        <x:v>1</x:v>
      </x:c>
      <x:c r="H104" s="62" t="n">
        <x:v>1</x:v>
      </x:c>
      <x:c r="I104" s="60" t="str">
        <x:v>ٱلْحُكَّامِ</x:v>
      </x:c>
      <x:c r="J104" s="60" t="str">
        <x:v>2:188:9</x:v>
      </x:c>
      <x:c r="K104" s="60" t="str">
        <x:v>مرشح بنيوي؛ لا تُستنتج الدلالة من اللمة وحدها</x:v>
      </x:c>
      <x:c r="L104" s="60" t="str">
        <x:v>https://corpus.quran.com/qurandictionary.jsp?q=Hkm</x:v>
      </x:c>
    </x:row>
    <x:row r="105">
      <x:c r="A105" s="60" t="str">
        <x:v>ح ك م</x:v>
      </x:c>
      <x:c r="B105" s="60" t="str">
        <x:v>P1 — أصول تأسيسية عالية الأثر</x:v>
      </x:c>
      <x:c r="C105" s="60" t="str">
        <x:v>يَتَحاكَمُ</x:v>
      </x:c>
      <x:c r="D105" s="62" t="n">
        <x:v>1</x:v>
      </x:c>
      <x:c r="E105" s="60" t="str">
        <x:v>فعل</x:v>
      </x:c>
      <x:c r="F105" s="60" t="str">
        <x:v>V</x:v>
      </x:c>
      <x:c r="G105" s="60" t="str">
        <x:v>6</x:v>
      </x:c>
      <x:c r="H105" s="62" t="n">
        <x:v>1</x:v>
      </x:c>
      <x:c r="I105" s="60" t="str">
        <x:v>يَتَحَاكَمُوٓا۟</x:v>
      </x:c>
      <x:c r="J105" s="60" t="str">
        <x:v>4:60:17</x:v>
      </x:c>
      <x:c r="K105" s="60" t="str">
        <x:v>مرشح بنيوي؛ لا تُستنتج الدلالة من اللمة وحدها</x:v>
      </x:c>
      <x:c r="L105" s="60" t="str">
        <x:v>https://corpus.quran.com/qurandictionary.jsp?q=Hkm</x:v>
      </x:c>
    </x:row>
    <x:row r="106">
      <x:c r="A106" s="60" t="str">
        <x:v>خ ل ق</x:v>
      </x:c>
      <x:c r="B106" s="60" t="str">
        <x:v>P1 — أصول تأسيسية عالية الأثر</x:v>
      </x:c>
      <x:c r="C106" s="60" t="str">
        <x:v>خَلَقَ</x:v>
      </x:c>
      <x:c r="D106" s="62" t="n">
        <x:v>184</x:v>
      </x:c>
      <x:c r="E106" s="60" t="str">
        <x:v>فعل</x:v>
      </x:c>
      <x:c r="F106" s="60" t="str">
        <x:v>V</x:v>
      </x:c>
      <x:c r="G106" s="60" t="str">
        <x:v>1</x:v>
      </x:c>
      <x:c r="H106" s="62" t="n">
        <x:v>47</x:v>
      </x:c>
      <x:c r="I106" s="60" t="str">
        <x:v>خَلَقَ، خَلَقْنَا، يَخْلُقُ، خَلَقَكُمْ، خَلَقَكُم</x:v>
      </x:c>
      <x:c r="J106" s="60" t="str">
        <x:v>2:21:6؛ 2:29:3؛ 2:228:12؛ 3:47:13</x:v>
      </x:c>
      <x:c r="K106" s="60" t="str">
        <x:v>مرشح بنيوي؛ لا تُستنتج الدلالة من اللمة وحدها</x:v>
      </x:c>
      <x:c r="L106" s="60" t="str">
        <x:v>https://corpus.quran.com/qurandictionary.jsp?q=xlq</x:v>
      </x:c>
    </x:row>
    <x:row r="107">
      <x:c r="A107" s="60" t="str">
        <x:v>خ ل ق</x:v>
      </x:c>
      <x:c r="B107" s="60" t="str">
        <x:v>P1 — أصول تأسيسية عالية الأثر</x:v>
      </x:c>
      <x:c r="C107" s="60" t="str">
        <x:v>خَلْق</x:v>
      </x:c>
      <x:c r="D107" s="62" t="n">
        <x:v>52</x:v>
      </x:c>
      <x:c r="E107" s="60" t="str">
        <x:v>اسم</x:v>
      </x:c>
      <x:c r="F107" s="60" t="str">
        <x:v>N</x:v>
      </x:c>
      <x:c r="G107" s="60" t="str">
        <x:v>—</x:v>
      </x:c>
      <x:c r="H107" s="62" t="n">
        <x:v>18</x:v>
      </x:c>
      <x:c r="I107" s="60" t="str">
        <x:v>ٱلْخَلْقَ، خَلْقٍ، خَلْقًا، خَلْقِ، خَلْقَ</x:v>
      </x:c>
      <x:c r="J107" s="60" t="str">
        <x:v>2:164:3؛ 3:190:3؛ 3:191:10؛ 4:119:9</x:v>
      </x:c>
      <x:c r="K107" s="60" t="str">
        <x:v>مرشح بنيوي؛ لا تُستنتج الدلالة من اللمة وحدها</x:v>
      </x:c>
      <x:c r="L107" s="60" t="str">
        <x:v>https://corpus.quran.com/qurandictionary.jsp?q=xlq</x:v>
      </x:c>
    </x:row>
    <x:row r="108">
      <x:c r="A108" s="60" t="str">
        <x:v>خ ل ق</x:v>
      </x:c>
      <x:c r="B108" s="60" t="str">
        <x:v>P1 — أصول تأسيسية عالية الأثر</x:v>
      </x:c>
      <x:c r="C108" s="60" t="str">
        <x:v>خالِق</x:v>
      </x:c>
      <x:c r="D108" s="62" t="n">
        <x:v>12</x:v>
      </x:c>
      <x:c r="E108" s="60" t="str">
        <x:v>اسم</x:v>
      </x:c>
      <x:c r="F108" s="60" t="str">
        <x:v>N</x:v>
      </x:c>
      <x:c r="G108" s="60" t="str">
        <x:v>1</x:v>
      </x:c>
      <x:c r="H108" s="62" t="n">
        <x:v>6</x:v>
      </x:c>
      <x:c r="I108" s="60" t="str">
        <x:v>خَٰلِقُ، خَٰلِقٌۢ، ٱلْخَٰلِقِينَ، ٱلْخَٰلِقُونَ، خَٰلِقٍ</x:v>
      </x:c>
      <x:c r="J108" s="60" t="str">
        <x:v>6:102:8؛ 13:16:40؛ 15:28:6؛ 23:14:21</x:v>
      </x:c>
      <x:c r="K108" s="60" t="str">
        <x:v>مرشح بنيوي؛ لا تُستنتج الدلالة من اللمة وحدها</x:v>
      </x:c>
      <x:c r="L108" s="60" t="str">
        <x:v>https://corpus.quran.com/qurandictionary.jsp?q=xlq</x:v>
      </x:c>
    </x:row>
    <x:row r="109">
      <x:c r="A109" s="60" t="str">
        <x:v>خ ل ق</x:v>
      </x:c>
      <x:c r="B109" s="60" t="str">
        <x:v>P1 — أصول تأسيسية عالية الأثر</x:v>
      </x:c>
      <x:c r="C109" s="60" t="str">
        <x:v>خَلاق</x:v>
      </x:c>
      <x:c r="D109" s="62" t="n">
        <x:v>6</x:v>
      </x:c>
      <x:c r="E109" s="60" t="str">
        <x:v>اسم</x:v>
      </x:c>
      <x:c r="F109" s="60" t="str">
        <x:v>N</x:v>
      </x:c>
      <x:c r="G109" s="60" t="str">
        <x:v>—</x:v>
      </x:c>
      <x:c r="H109" s="62" t="n">
        <x:v>4</x:v>
      </x:c>
      <x:c r="I109" s="60" t="str">
        <x:v>خَلَٰقٍ، بِخَلَٰقِهِمْ، خَلَٰقَ، بِخَلَٰقِكُمْ</x:v>
      </x:c>
      <x:c r="J109" s="60" t="str">
        <x:v>2:102:66؛ 2:200:24؛ 3:77:11؛ 9:69:12</x:v>
      </x:c>
      <x:c r="K109" s="60" t="str">
        <x:v>مرشح بنيوي؛ لا تُستنتج الدلالة من اللمة وحدها</x:v>
      </x:c>
      <x:c r="L109" s="60" t="str">
        <x:v>https://corpus.quran.com/qurandictionary.jsp?q=xlq</x:v>
      </x:c>
    </x:row>
    <x:row r="110">
      <x:c r="A110" s="60" t="str">
        <x:v>خ ل ق</x:v>
      </x:c>
      <x:c r="B110" s="60" t="str">
        <x:v>P1 — أصول تأسيسية عالية الأثر</x:v>
      </x:c>
      <x:c r="C110" s="60" t="str">
        <x:v>خَلّاق</x:v>
      </x:c>
      <x:c r="D110" s="62" t="n">
        <x:v>2</x:v>
      </x:c>
      <x:c r="E110" s="60" t="str">
        <x:v>اسم</x:v>
      </x:c>
      <x:c r="F110" s="60" t="str">
        <x:v>N</x:v>
      </x:c>
      <x:c r="G110" s="60" t="str">
        <x:v>—</x:v>
      </x:c>
      <x:c r="H110" s="62" t="n">
        <x:v>1</x:v>
      </x:c>
      <x:c r="I110" s="60" t="str">
        <x:v>ٱلْخَلَّٰقُ</x:v>
      </x:c>
      <x:c r="J110" s="60" t="str">
        <x:v>15:86:4؛ 36:81:13</x:v>
      </x:c>
      <x:c r="K110" s="60" t="str">
        <x:v>مرشح بنيوي؛ لا تُستنتج الدلالة من اللمة وحدها</x:v>
      </x:c>
      <x:c r="L110" s="60" t="str">
        <x:v>https://corpus.quran.com/qurandictionary.jsp?q=xlq</x:v>
      </x:c>
    </x:row>
    <x:row r="111">
      <x:c r="A111" s="60" t="str">
        <x:v>خ ل ق</x:v>
      </x:c>
      <x:c r="B111" s="60" t="str">
        <x:v>P1 — أصول تأسيسية عالية الأثر</x:v>
      </x:c>
      <x:c r="C111" s="60" t="str">
        <x:v>خُلُق</x:v>
      </x:c>
      <x:c r="D111" s="62" t="n">
        <x:v>2</x:v>
      </x:c>
      <x:c r="E111" s="60" t="str">
        <x:v>اسم</x:v>
      </x:c>
      <x:c r="F111" s="60" t="str">
        <x:v>N</x:v>
      </x:c>
      <x:c r="G111" s="60" t="str">
        <x:v>—</x:v>
      </x:c>
      <x:c r="H111" s="62" t="n">
        <x:v>2</x:v>
      </x:c>
      <x:c r="I111" s="60" t="str">
        <x:v>خُلُقُ، خُلُقٍ</x:v>
      </x:c>
      <x:c r="J111" s="60" t="str">
        <x:v>26:137:4؛ 68:4:3</x:v>
      </x:c>
      <x:c r="K111" s="60" t="str">
        <x:v>مرشح بنيوي؛ لا تُستنتج الدلالة من اللمة وحدها</x:v>
      </x:c>
      <x:c r="L111" s="60" t="str">
        <x:v>https://corpus.quran.com/qurandictionary.jsp?q=xlq</x:v>
      </x:c>
    </x:row>
    <x:row r="112">
      <x:c r="A112" s="60" t="str">
        <x:v>خ ل ق</x:v>
      </x:c>
      <x:c r="B112" s="60" t="str">
        <x:v>P1 — أصول تأسيسية عالية الأثر</x:v>
      </x:c>
      <x:c r="C112" s="60" t="str">
        <x:v>مُخَلَّقَة</x:v>
      </x:c>
      <x:c r="D112" s="62" t="n">
        <x:v>2</x:v>
      </x:c>
      <x:c r="E112" s="60" t="str">
        <x:v>اسم</x:v>
      </x:c>
      <x:c r="F112" s="60" t="str">
        <x:v>N</x:v>
      </x:c>
      <x:c r="G112" s="60" t="str">
        <x:v>2</x:v>
      </x:c>
      <x:c r="H112" s="62" t="n">
        <x:v>2</x:v>
      </x:c>
      <x:c r="I112" s="60" t="str">
        <x:v>مُّخَلَّقَةٍ، مُخَلَّقَةٍ</x:v>
      </x:c>
      <x:c r="J112" s="60" t="str">
        <x:v>22:5:22؛ 22:5:24</x:v>
      </x:c>
      <x:c r="K112" s="60" t="str">
        <x:v>مرشح بنيوي؛ لا تُستنتج الدلالة من اللمة وحدها</x:v>
      </x:c>
      <x:c r="L112" s="60" t="str">
        <x:v>https://corpus.quran.com/qurandictionary.jsp?q=xlq</x:v>
      </x:c>
    </x:row>
    <x:row r="113">
      <x:c r="A113" s="60" t="str">
        <x:v>خ ل ق</x:v>
      </x:c>
      <x:c r="B113" s="60" t="str">
        <x:v>P1 — أصول تأسيسية عالية الأثر</x:v>
      </x:c>
      <x:c r="C113" s="60" t="str">
        <x:v>اخْتِلاق</x:v>
      </x:c>
      <x:c r="D113" s="62" t="n">
        <x:v>1</x:v>
      </x:c>
      <x:c r="E113" s="60" t="str">
        <x:v>اسم</x:v>
      </x:c>
      <x:c r="F113" s="60" t="str">
        <x:v>N</x:v>
      </x:c>
      <x:c r="G113" s="60" t="str">
        <x:v>8</x:v>
      </x:c>
      <x:c r="H113" s="62" t="n">
        <x:v>1</x:v>
      </x:c>
      <x:c r="I113" s="60" t="str">
        <x:v>ٱخْتِلَٰقٌ</x:v>
      </x:c>
      <x:c r="J113" s="60" t="str">
        <x:v>38:7:10</x:v>
      </x:c>
      <x:c r="K113" s="60" t="str">
        <x:v>مرشح بنيوي؛ لا تُستنتج الدلالة من اللمة وحدها</x:v>
      </x:c>
      <x:c r="L113" s="60" t="str">
        <x:v>https://corpus.quran.com/qurandictionary.jsp?q=xlq</x:v>
      </x:c>
    </x:row>
    <x:row r="114">
      <x:c r="A114" s="60" t="str">
        <x:v>ق و ل</x:v>
      </x:c>
      <x:c r="B114" s="60" t="str">
        <x:v>P1 — أصول تأسيسية عالية الأثر</x:v>
      </x:c>
      <x:c r="C114" s="60" t="str">
        <x:v>قالَ</x:v>
      </x:c>
      <x:c r="D114" s="62" t="n">
        <x:v>1618</x:v>
      </x:c>
      <x:c r="E114" s="60" t="str">
        <x:v>فعل</x:v>
      </x:c>
      <x:c r="F114" s="60" t="str">
        <x:v>V</x:v>
      </x:c>
      <x:c r="G114" s="60" t="str">
        <x:v>1</x:v>
      </x:c>
      <x:c r="H114" s="62" t="n">
        <x:v>109</x:v>
      </x:c>
      <x:c r="I114" s="60" t="str">
        <x:v>قَالَ، قُلْ، قَالُوا۟، وَقَالَ، قَالُوٓا۟</x:v>
      </x:c>
      <x:c r="J114" s="60" t="str">
        <x:v>2:8:4؛ 2:11:2؛ 2:11:8؛ 2:13:2</x:v>
      </x:c>
      <x:c r="K114" s="60" t="str">
        <x:v>مرشح بنيوي؛ لا تُستنتج الدلالة من اللمة وحدها</x:v>
      </x:c>
      <x:c r="L114" s="60" t="str">
        <x:v>https://corpus.quran.com/qurandictionary.jsp?q=qwl</x:v>
      </x:c>
    </x:row>
    <x:row r="115">
      <x:c r="A115" s="60" t="str">
        <x:v>ق و ل</x:v>
      </x:c>
      <x:c r="B115" s="60" t="str">
        <x:v>P1 — أصول تأسيسية عالية الأثر</x:v>
      </x:c>
      <x:c r="C115" s="60" t="str">
        <x:v>قَوْل</x:v>
      </x:c>
      <x:c r="D115" s="62" t="n">
        <x:v>92</x:v>
      </x:c>
      <x:c r="E115" s="60" t="str">
        <x:v>اسم</x:v>
      </x:c>
      <x:c r="F115" s="60" t="str">
        <x:v>N</x:v>
      </x:c>
      <x:c r="G115" s="60" t="str">
        <x:v>1</x:v>
      </x:c>
      <x:c r="H115" s="62" t="n">
        <x:v>29</x:v>
      </x:c>
      <x:c r="I115" s="60" t="str">
        <x:v>قَوْلًا، ٱلْقَوْلُ، ٱلْقَوْلِ، قَوْلَ، ٱلْقَوْلَ</x:v>
      </x:c>
      <x:c r="J115" s="60" t="str">
        <x:v>2:59:4؛ 2:113:22؛ 2:118:17؛ 2:204:5</x:v>
      </x:c>
      <x:c r="K115" s="60" t="str">
        <x:v>مرشح بنيوي؛ لا تُستنتج الدلالة من اللمة وحدها</x:v>
      </x:c>
      <x:c r="L115" s="60" t="str">
        <x:v>https://corpus.quran.com/qurandictionary.jsp?q=qwl</x:v>
      </x:c>
    </x:row>
    <x:row r="116">
      <x:c r="A116" s="60" t="str">
        <x:v>ق و ل</x:v>
      </x:c>
      <x:c r="B116" s="60" t="str">
        <x:v>P1 — أصول تأسيسية عالية الأثر</x:v>
      </x:c>
      <x:c r="C116" s="60" t="str">
        <x:v>قائِل</x:v>
      </x:c>
      <x:c r="D116" s="62" t="n">
        <x:v>5</x:v>
      </x:c>
      <x:c r="E116" s="60" t="str">
        <x:v>اسم</x:v>
      </x:c>
      <x:c r="F116" s="60" t="str">
        <x:v>N</x:v>
      </x:c>
      <x:c r="G116" s="60" t="str">
        <x:v>1</x:v>
      </x:c>
      <x:c r="H116" s="62" t="n">
        <x:v>3</x:v>
      </x:c>
      <x:c r="I116" s="60" t="str">
        <x:v>قَآئِلٌ، قَآئِلُهَا، وَٱلْقَآئِلِينَ</x:v>
      </x:c>
      <x:c r="J116" s="60" t="str">
        <x:v>12:10:2؛ 18:19:6؛ 23:100:10؛ 33:18:6</x:v>
      </x:c>
      <x:c r="K116" s="60" t="str">
        <x:v>مرشح بنيوي؛ لا تُستنتج الدلالة من اللمة وحدها</x:v>
      </x:c>
      <x:c r="L116" s="60" t="str">
        <x:v>https://corpus.quran.com/qurandictionary.jsp?q=qwl</x:v>
      </x:c>
    </x:row>
    <x:row r="117">
      <x:c r="A117" s="60" t="str">
        <x:v>ق و ل</x:v>
      </x:c>
      <x:c r="B117" s="60" t="str">
        <x:v>P1 — أصول تأسيسية عالية الأثر</x:v>
      </x:c>
      <x:c r="C117" s="60" t="str">
        <x:v>قِيل</x:v>
      </x:c>
      <x:c r="D117" s="62" t="n">
        <x:v>4</x:v>
      </x:c>
      <x:c r="E117" s="60" t="str">
        <x:v>اسم</x:v>
      </x:c>
      <x:c r="F117" s="60" t="str">
        <x:v>N</x:v>
      </x:c>
      <x:c r="G117" s="60" t="str">
        <x:v>—</x:v>
      </x:c>
      <x:c r="H117" s="62" t="n">
        <x:v>2</x:v>
      </x:c>
      <x:c r="I117" s="60" t="str">
        <x:v>قِيلًا، وَقِيلِهِۦ</x:v>
      </x:c>
      <x:c r="J117" s="60" t="str">
        <x:v>4:122:21؛ 43:88:1؛ 56:26:2؛ 73:6:8</x:v>
      </x:c>
      <x:c r="K117" s="60" t="str">
        <x:v>مرشح بنيوي؛ لا تُستنتج الدلالة من اللمة وحدها</x:v>
      </x:c>
      <x:c r="L117" s="60" t="str">
        <x:v>https://corpus.quran.com/qurandictionary.jsp?q=qwl</x:v>
      </x:c>
    </x:row>
    <x:row r="118">
      <x:c r="A118" s="60" t="str">
        <x:v>ق و ل</x:v>
      </x:c>
      <x:c r="B118" s="60" t="str">
        <x:v>P1 — أصول تأسيسية عالية الأثر</x:v>
      </x:c>
      <x:c r="C118" s="60" t="str">
        <x:v>تَقَوَّلَ</x:v>
      </x:c>
      <x:c r="D118" s="62" t="n">
        <x:v>2</x:v>
      </x:c>
      <x:c r="E118" s="60" t="str">
        <x:v>فعل</x:v>
      </x:c>
      <x:c r="F118" s="60" t="str">
        <x:v>V</x:v>
      </x:c>
      <x:c r="G118" s="60" t="str">
        <x:v>5</x:v>
      </x:c>
      <x:c r="H118" s="62" t="n">
        <x:v>2</x:v>
      </x:c>
      <x:c r="I118" s="60" t="str">
        <x:v>تَقَوَّلَهُۥ، تَقَوَّلَ</x:v>
      </x:c>
      <x:c r="J118" s="60" t="str">
        <x:v>52:33:3؛ 69:44:2</x:v>
      </x:c>
      <x:c r="K118" s="60" t="str">
        <x:v>مرشح بنيوي؛ لا تُستنتج الدلالة من اللمة وحدها</x:v>
      </x:c>
      <x:c r="L118" s="60" t="str">
        <x:v>https://corpus.quran.com/qurandictionary.jsp?q=qwl</x:v>
      </x:c>
    </x:row>
    <x:row r="119">
      <x:c r="A119" s="60" t="str">
        <x:v>ق و ل</x:v>
      </x:c>
      <x:c r="B119" s="60" t="str">
        <x:v>P1 — أصول تأسيسية عالية الأثر</x:v>
      </x:c>
      <x:c r="C119" s="60" t="str">
        <x:v>أَقاوِيل</x:v>
      </x:c>
      <x:c r="D119" s="62" t="n">
        <x:v>1</x:v>
      </x:c>
      <x:c r="E119" s="60" t="str">
        <x:v>اسم</x:v>
      </x:c>
      <x:c r="F119" s="60" t="str">
        <x:v>N</x:v>
      </x:c>
      <x:c r="G119" s="60" t="str">
        <x:v>—</x:v>
      </x:c>
      <x:c r="H119" s="62" t="n">
        <x:v>1</x:v>
      </x:c>
      <x:c r="I119" s="60" t="str">
        <x:v>ٱلْأَقَاوِيلِ</x:v>
      </x:c>
      <x:c r="J119" s="60" t="str">
        <x:v>69:44:5</x:v>
      </x:c>
      <x:c r="K119" s="60" t="str">
        <x:v>مرشح بنيوي؛ لا تُستنتج الدلالة من اللمة وحدها</x:v>
      </x:c>
      <x:c r="L119" s="60" t="str">
        <x:v>https://corpus.quran.com/qurandictionary.jsp?q=qwl</x:v>
      </x:c>
    </x:row>
    <x:row r="120">
      <x:c r="A120" s="60" t="str">
        <x:v>ق د ر</x:v>
      </x:c>
      <x:c r="B120" s="60" t="str">
        <x:v>P1 — أصول تأسيسية عالية الأثر</x:v>
      </x:c>
      <x:c r="C120" s="60" t="str">
        <x:v>قَدِير</x:v>
      </x:c>
      <x:c r="D120" s="62" t="n">
        <x:v>45</x:v>
      </x:c>
      <x:c r="E120" s="60" t="str">
        <x:v>اسم</x:v>
      </x:c>
      <x:c r="F120" s="60" t="str">
        <x:v>N</x:v>
      </x:c>
      <x:c r="G120" s="60" t="str">
        <x:v>—</x:v>
      </x:c>
      <x:c r="H120" s="62" t="n">
        <x:v>5</x:v>
      </x:c>
      <x:c r="I120" s="60" t="str">
        <x:v>قَدِيرٌ، قَدِيرًا، قَدِيرٌۢ، لَقَدِيرٌ، ٱلْقَدِيرُ</x:v>
      </x:c>
      <x:c r="J120" s="60" t="str">
        <x:v>2:20:25؛ 2:106:19؛ 2:109:33؛ 2:148:19</x:v>
      </x:c>
      <x:c r="K120" s="60" t="str">
        <x:v>مرشح بنيوي؛ لا تُستنتج الدلالة من اللمة وحدها</x:v>
      </x:c>
      <x:c r="L120" s="60" t="str">
        <x:v>https://corpus.quran.com/qurandictionary.jsp?q=qdr</x:v>
      </x:c>
    </x:row>
    <x:row r="121">
      <x:c r="A121" s="60" t="str">
        <x:v>ق د ر</x:v>
      </x:c>
      <x:c r="B121" s="60" t="str">
        <x:v>P1 — أصول تأسيسية عالية الأثر</x:v>
      </x:c>
      <x:c r="C121" s="60" t="str">
        <x:v>قَدَرَ</x:v>
      </x:c>
      <x:c r="D121" s="62" t="n">
        <x:v>25</x:v>
      </x:c>
      <x:c r="E121" s="60" t="str">
        <x:v>فعل</x:v>
      </x:c>
      <x:c r="F121" s="60" t="str">
        <x:v>V</x:v>
      </x:c>
      <x:c r="G121" s="60" t="str">
        <x:v>1</x:v>
      </x:c>
      <x:c r="H121" s="62" t="n">
        <x:v>10</x:v>
      </x:c>
      <x:c r="I121" s="60" t="str">
        <x:v>وَيَقْدِرُ، يَقْدِرُونَ، قَدَرُوا۟، تَقْدِرُوا۟، يَقْدِرُ</x:v>
      </x:c>
      <x:c r="J121" s="60" t="str">
        <x:v>2:264:29؛ 5:34:7؛ 6:91:2؛ 13:26:6</x:v>
      </x:c>
      <x:c r="K121" s="60" t="str">
        <x:v>مرشح بنيوي؛ لا تُستنتج الدلالة من اللمة وحدها</x:v>
      </x:c>
      <x:c r="L121" s="60" t="str">
        <x:v>https://corpus.quran.com/qurandictionary.jsp?q=qdr</x:v>
      </x:c>
    </x:row>
    <x:row r="122">
      <x:c r="A122" s="60" t="str">
        <x:v>ق د ر</x:v>
      </x:c>
      <x:c r="B122" s="60" t="str">
        <x:v>P1 — أصول تأسيسية عالية الأثر</x:v>
      </x:c>
      <x:c r="C122" s="60" t="str">
        <x:v>قَدَّرَ</x:v>
      </x:c>
      <x:c r="D122" s="62" t="n">
        <x:v>16</x:v>
      </x:c>
      <x:c r="E122" s="60" t="str">
        <x:v>فعل</x:v>
      </x:c>
      <x:c r="F122" s="60" t="str">
        <x:v>V</x:v>
      </x:c>
      <x:c r="G122" s="60" t="str">
        <x:v>2</x:v>
      </x:c>
      <x:c r="H122" s="62" t="n">
        <x:v>12</x:v>
      </x:c>
      <x:c r="I122" s="60" t="str">
        <x:v>قَدَّرَ، فَقَدَّرَهُۥ، وَقَدَّرَ، وَقَدَّرَهُۥ، قَدَّرْنَآ</x:v>
      </x:c>
      <x:c r="J122" s="60" t="str">
        <x:v>10:5:8؛ 15:60:3؛ 25:2:18؛ 27:57:5</x:v>
      </x:c>
      <x:c r="K122" s="60" t="str">
        <x:v>مرشح بنيوي؛ لا تُستنتج الدلالة من اللمة وحدها</x:v>
      </x:c>
      <x:c r="L122" s="60" t="str">
        <x:v>https://corpus.quran.com/qurandictionary.jsp?q=qdr</x:v>
      </x:c>
    </x:row>
    <x:row r="123">
      <x:c r="A123" s="60" t="str">
        <x:v>ق د ر</x:v>
      </x:c>
      <x:c r="B123" s="60" t="str">
        <x:v>P1 — أصول تأسيسية عالية الأثر</x:v>
      </x:c>
      <x:c r="C123" s="60" t="str">
        <x:v>قادِر</x:v>
      </x:c>
      <x:c r="D123" s="62" t="n">
        <x:v>14</x:v>
      </x:c>
      <x:c r="E123" s="60" t="str">
        <x:v>اسم</x:v>
      </x:c>
      <x:c r="F123" s="60" t="str">
        <x:v>N</x:v>
      </x:c>
      <x:c r="G123" s="60" t="str">
        <x:v>1</x:v>
      </x:c>
      <x:c r="H123" s="62" t="n">
        <x:v>8</x:v>
      </x:c>
      <x:c r="I123" s="60" t="str">
        <x:v>لَقَٰدِرُونَ، بِقَٰدِرٍ، قَادِرٌ، قَٰدِرِينَ، ٱلْقَادِرُ</x:v>
      </x:c>
      <x:c r="J123" s="60" t="str">
        <x:v>6:37:11؛ 6:65:3؛ 10:24:26؛ 17:99:9</x:v>
      </x:c>
      <x:c r="K123" s="60" t="str">
        <x:v>مرشح بنيوي؛ لا تُستنتج الدلالة من اللمة وحدها</x:v>
      </x:c>
      <x:c r="L123" s="60" t="str">
        <x:v>https://corpus.quran.com/qurandictionary.jsp?q=qdr</x:v>
      </x:c>
    </x:row>
    <x:row r="124">
      <x:c r="A124" s="60" t="str">
        <x:v>ق د ر</x:v>
      </x:c>
      <x:c r="B124" s="60" t="str">
        <x:v>P1 — أصول تأسيسية عالية الأثر</x:v>
      </x:c>
      <x:c r="C124" s="60" t="str">
        <x:v>قَدَر</x:v>
      </x:c>
      <x:c r="D124" s="62" t="n">
        <x:v>11</x:v>
      </x:c>
      <x:c r="E124" s="60" t="str">
        <x:v>اسم</x:v>
      </x:c>
      <x:c r="F124" s="60" t="str">
        <x:v>N</x:v>
      </x:c>
      <x:c r="G124" s="60" t="str">
        <x:v>—</x:v>
      </x:c>
      <x:c r="H124" s="62" t="n">
        <x:v>5</x:v>
      </x:c>
      <x:c r="I124" s="60" t="str">
        <x:v>بِقَدَرٍ، قَدَرُهُۥ، قَدَرٍ، بِقَدَرِهَا، قَدَرًا</x:v>
      </x:c>
      <x:c r="J124" s="60" t="str">
        <x:v>2:236:17؛ 2:236:20؛ 13:17:7؛ 15:21:10</x:v>
      </x:c>
      <x:c r="K124" s="60" t="str">
        <x:v>مرشح بنيوي؛ لا تُستنتج الدلالة من اللمة وحدها</x:v>
      </x:c>
      <x:c r="L124" s="60" t="str">
        <x:v>https://corpus.quran.com/qurandictionary.jsp?q=qdr</x:v>
      </x:c>
    </x:row>
    <x:row r="125">
      <x:c r="A125" s="60" t="str">
        <x:v>ق د ر</x:v>
      </x:c>
      <x:c r="B125" s="60" t="str">
        <x:v>P1 — أصول تأسيسية عالية الأثر</x:v>
      </x:c>
      <x:c r="C125" s="60" t="str">
        <x:v>قَدْر</x:v>
      </x:c>
      <x:c r="D125" s="62" t="n">
        <x:v>7</x:v>
      </x:c>
      <x:c r="E125" s="60" t="str">
        <x:v>اسم</x:v>
      </x:c>
      <x:c r="F125" s="60" t="str">
        <x:v>N</x:v>
      </x:c>
      <x:c r="G125" s="60" t="str">
        <x:v>—</x:v>
      </x:c>
      <x:c r="H125" s="62" t="n">
        <x:v>4</x:v>
      </x:c>
      <x:c r="I125" s="60" t="str">
        <x:v>ٱلْقَدْرِ، قَدْرِهِۦٓ، قَدْرِهِۦ، قَدْرًا</x:v>
      </x:c>
      <x:c r="J125" s="60" t="str">
        <x:v>6:91:5؛ 22:74:5؛ 39:67:5؛ 65:3:21</x:v>
      </x:c>
      <x:c r="K125" s="60" t="str">
        <x:v>مرشح بنيوي؛ لا تُستنتج الدلالة من اللمة وحدها</x:v>
      </x:c>
      <x:c r="L125" s="60" t="str">
        <x:v>https://corpus.quran.com/qurandictionary.jsp?q=qdr</x:v>
      </x:c>
    </x:row>
    <x:row r="126">
      <x:c r="A126" s="60" t="str">
        <x:v>ق د ر</x:v>
      </x:c>
      <x:c r="B126" s="60" t="str">
        <x:v>P1 — أصول تأسيسية عالية الأثر</x:v>
      </x:c>
      <x:c r="C126" s="60" t="str">
        <x:v>تَقْدِير</x:v>
      </x:c>
      <x:c r="D126" s="62" t="n">
        <x:v>5</x:v>
      </x:c>
      <x:c r="E126" s="60" t="str">
        <x:v>اسم</x:v>
      </x:c>
      <x:c r="F126" s="60" t="str">
        <x:v>N</x:v>
      </x:c>
      <x:c r="G126" s="60" t="str">
        <x:v>2</x:v>
      </x:c>
      <x:c r="H126" s="62" t="n">
        <x:v>2</x:v>
      </x:c>
      <x:c r="I126" s="60" t="str">
        <x:v>تَقْدِيرُ، تَقْدِيرًا</x:v>
      </x:c>
      <x:c r="J126" s="60" t="str">
        <x:v>6:96:10؛ 25:2:19؛ 36:38:6؛ 41:12:17</x:v>
      </x:c>
      <x:c r="K126" s="60" t="str">
        <x:v>مرشح بنيوي؛ لا تُستنتج الدلالة من اللمة وحدها</x:v>
      </x:c>
      <x:c r="L126" s="60" t="str">
        <x:v>https://corpus.quran.com/qurandictionary.jsp?q=qdr</x:v>
      </x:c>
    </x:row>
    <x:row r="127">
      <x:c r="A127" s="60" t="str">
        <x:v>ق د ر</x:v>
      </x:c>
      <x:c r="B127" s="60" t="str">
        <x:v>P1 — أصول تأسيسية عالية الأثر</x:v>
      </x:c>
      <x:c r="C127" s="60" t="str">
        <x:v>مُقْتَدِر</x:v>
      </x:c>
      <x:c r="D127" s="62" t="n">
        <x:v>4</x:v>
      </x:c>
      <x:c r="E127" s="60" t="str">
        <x:v>اسم</x:v>
      </x:c>
      <x:c r="F127" s="60" t="str">
        <x:v>N</x:v>
      </x:c>
      <x:c r="G127" s="60" t="str">
        <x:v>8</x:v>
      </x:c>
      <x:c r="H127" s="62" t="n">
        <x:v>4</x:v>
      </x:c>
      <x:c r="I127" s="60" t="str">
        <x:v>مُّقْتَدِرًا، مُّقْتَدِرُونَ، مُّقْتَدِرٍ، مُّقْتَدِرٍۭ</x:v>
      </x:c>
      <x:c r="J127" s="60" t="str">
        <x:v>18:45:23؛ 43:42:7؛ 54:42:7؛ 54:55:6</x:v>
      </x:c>
      <x:c r="K127" s="60" t="str">
        <x:v>مرشح بنيوي؛ لا تُستنتج الدلالة من اللمة وحدها</x:v>
      </x:c>
      <x:c r="L127" s="60" t="str">
        <x:v>https://corpus.quran.com/qurandictionary.jsp?q=qdr</x:v>
      </x:c>
    </x:row>
    <x:row r="128">
      <x:c r="A128" s="60" t="str">
        <x:v>ق د ر</x:v>
      </x:c>
      <x:c r="B128" s="60" t="str">
        <x:v>P1 — أصول تأسيسية عالية الأثر</x:v>
      </x:c>
      <x:c r="C128" s="60" t="str">
        <x:v>مِقْدار</x:v>
      </x:c>
      <x:c r="D128" s="62" t="n">
        <x:v>3</x:v>
      </x:c>
      <x:c r="E128" s="60" t="str">
        <x:v>اسم</x:v>
      </x:c>
      <x:c r="F128" s="60" t="str">
        <x:v>N</x:v>
      </x:c>
      <x:c r="G128" s="60" t="str">
        <x:v>—</x:v>
      </x:c>
      <x:c r="H128" s="62" t="n">
        <x:v>3</x:v>
      </x:c>
      <x:c r="I128" s="60" t="str">
        <x:v>بِمِقْدَارٍ، مِقْدَارُهُۥٓ، مِقْدَارُهُۥ</x:v>
      </x:c>
      <x:c r="J128" s="60" t="str">
        <x:v>13:8:15؛ 32:5:13؛ 70:4:8</x:v>
      </x:c>
      <x:c r="K128" s="60" t="str">
        <x:v>مرشح بنيوي؛ لا تُستنتج الدلالة من اللمة وحدها</x:v>
      </x:c>
      <x:c r="L128" s="60" t="str">
        <x:v>https://corpus.quran.com/qurandictionary.jsp?q=qdr</x:v>
      </x:c>
    </x:row>
    <x:row r="129">
      <x:c r="A129" s="60" t="str">
        <x:v>ق د ر</x:v>
      </x:c>
      <x:c r="B129" s="60" t="str">
        <x:v>P1 — أصول تأسيسية عالية الأثر</x:v>
      </x:c>
      <x:c r="C129" s="60" t="str">
        <x:v>قُدُور</x:v>
      </x:c>
      <x:c r="D129" s="62" t="n">
        <x:v>1</x:v>
      </x:c>
      <x:c r="E129" s="60" t="str">
        <x:v>اسم</x:v>
      </x:c>
      <x:c r="F129" s="60" t="str">
        <x:v>N</x:v>
      </x:c>
      <x:c r="G129" s="60" t="str">
        <x:v>—</x:v>
      </x:c>
      <x:c r="H129" s="62" t="n">
        <x:v>1</x:v>
      </x:c>
      <x:c r="I129" s="60" t="str">
        <x:v>وَقُدُورٍ</x:v>
      </x:c>
      <x:c r="J129" s="60" t="str">
        <x:v>34:13:10</x:v>
      </x:c>
      <x:c r="K129" s="60" t="str">
        <x:v>مرشح بنيوي؛ لا تُستنتج الدلالة من اللمة وحدها</x:v>
      </x:c>
      <x:c r="L129" s="60" t="str">
        <x:v>https://corpus.quran.com/qurandictionary.jsp?q=qdr</x:v>
      </x:c>
    </x:row>
    <x:row r="130">
      <x:c r="A130" s="60" t="str">
        <x:v>ق د ر</x:v>
      </x:c>
      <x:c r="B130" s="60" t="str">
        <x:v>P1 — أصول تأسيسية عالية الأثر</x:v>
      </x:c>
      <x:c r="C130" s="60" t="str">
        <x:v>مَقْدُور</x:v>
      </x:c>
      <x:c r="D130" s="62" t="n">
        <x:v>1</x:v>
      </x:c>
      <x:c r="E130" s="60" t="str">
        <x:v>اسم</x:v>
      </x:c>
      <x:c r="F130" s="60" t="str">
        <x:v>N</x:v>
      </x:c>
      <x:c r="G130" s="60" t="str">
        <x:v>1</x:v>
      </x:c>
      <x:c r="H130" s="62" t="n">
        <x:v>1</x:v>
      </x:c>
      <x:c r="I130" s="60" t="str">
        <x:v>مَّقْدُورًا</x:v>
      </x:c>
      <x:c r="J130" s="60" t="str">
        <x:v>33:38:22</x:v>
      </x:c>
      <x:c r="K130" s="60" t="str">
        <x:v>مرشح بنيوي؛ لا تُستنتج الدلالة من اللمة وحدها</x:v>
      </x:c>
      <x:c r="L130" s="60" t="str">
        <x:v>https://corpus.quran.com/qurandictionary.jsp?q=qdr</x:v>
      </x:c>
    </x:row>
    <x:row r="131">
      <x:c r="A131" s="60" t="str">
        <x:v>ش ي أ (شاء/شيء)</x:v>
      </x:c>
      <x:c r="B131" s="60" t="str">
        <x:v>P1 — أصول تأسيسية عالية الأثر</x:v>
      </x:c>
      <x:c r="C131" s="60" t="str">
        <x:v>شَىْء</x:v>
      </x:c>
      <x:c r="D131" s="62" t="n">
        <x:v>283</x:v>
      </x:c>
      <x:c r="E131" s="60" t="str">
        <x:v>اسم</x:v>
      </x:c>
      <x:c r="F131" s="60" t="str">
        <x:v>N</x:v>
      </x:c>
      <x:c r="G131" s="60" t="str">
        <x:v>—</x:v>
      </x:c>
      <x:c r="H131" s="62" t="n">
        <x:v>11</x:v>
      </x:c>
      <x:c r="I131" s="60" t="str">
        <x:v>شَىْءٍ، شَيْـًٔا، شَىْءٌ، بِشَىْءٍ، أَشْيَآءَهُمْ</x:v>
      </x:c>
      <x:c r="J131" s="60" t="str">
        <x:v>2:20:24؛ 2:29:18؛ 2:48:8؛ 2:106:18</x:v>
      </x:c>
      <x:c r="K131" s="60" t="str">
        <x:v>مرشح بنيوي؛ لا تُستنتج الدلالة من اللمة وحدها</x:v>
      </x:c>
      <x:c r="L131" s="60" t="str">
        <x:v>https://corpus.quran.com/qurandictionary.jsp?q=%24yA</x:v>
      </x:c>
    </x:row>
    <x:row r="132">
      <x:c r="A132" s="60" t="str">
        <x:v>ش ي أ (شاء/شيء)</x:v>
      </x:c>
      <x:c r="B132" s="60" t="str">
        <x:v>P1 — أصول تأسيسية عالية الأثر</x:v>
      </x:c>
      <x:c r="C132" s="60" t="str">
        <x:v>شاءَ</x:v>
      </x:c>
      <x:c r="D132" s="62" t="n">
        <x:v>236</x:v>
      </x:c>
      <x:c r="E132" s="60" t="str">
        <x:v>فعل</x:v>
      </x:c>
      <x:c r="F132" s="60" t="str">
        <x:v>V</x:v>
      </x:c>
      <x:c r="G132" s="60" t="str">
        <x:v>1</x:v>
      </x:c>
      <x:c r="H132" s="62" t="n">
        <x:v>18</x:v>
      </x:c>
      <x:c r="I132" s="60" t="str">
        <x:v>يَشَآءُ، شَآءَ، نَشَآءُ، تَشَآءُ، يَشَأْ</x:v>
      </x:c>
      <x:c r="J132" s="60" t="str">
        <x:v>2:20:15؛ 2:35:11؛ 2:58:9؛ 2:70:15</x:v>
      </x:c>
      <x:c r="K132" s="60" t="str">
        <x:v>مرشح بنيوي؛ لا تُستنتج الدلالة من اللمة وحدها</x:v>
      </x:c>
      <x:c r="L132" s="60" t="str">
        <x:v>https://corpus.quran.com/qurandictionary.jsp?q=%24yA</x:v>
      </x:c>
    </x:row>
    <x:row r="133">
      <x:c r="A133" s="60" t="str">
        <x:v>ح ق ق</x:v>
      </x:c>
      <x:c r="B133" s="60" t="str">
        <x:v>P1 — أصول تأسيسية عالية الأثر</x:v>
      </x:c>
      <x:c r="C133" s="60" t="str">
        <x:v>حَقّ</x:v>
      </x:c>
      <x:c r="D133" s="62" t="n">
        <x:v>247</x:v>
      </x:c>
      <x:c r="E133" s="60" t="str">
        <x:v>اسم</x:v>
      </x:c>
      <x:c r="F133" s="60" t="str">
        <x:v>N</x:v>
      </x:c>
      <x:c r="G133" s="60" t="str">
        <x:v>—</x:v>
      </x:c>
      <x:c r="H133" s="62" t="n">
        <x:v>19</x:v>
      </x:c>
      <x:c r="I133" s="60" t="str">
        <x:v>بِٱلْحَقِّ، ٱلْحَقُّ، ٱلْحَقِّ، ٱلْحَقَّ، حَقًّا</x:v>
      </x:c>
      <x:c r="J133" s="60" t="str">
        <x:v>2:26:17؛ 2:42:3؛ 2:42:6؛ 2:61:54</x:v>
      </x:c>
      <x:c r="K133" s="60" t="str">
        <x:v>مرشح بنيوي؛ لا تُستنتج الدلالة من اللمة وحدها</x:v>
      </x:c>
      <x:c r="L133" s="60" t="str">
        <x:v>https://corpus.quran.com/qurandictionary.jsp?q=Hqq</x:v>
      </x:c>
    </x:row>
    <x:row r="134">
      <x:c r="A134" s="60" t="str">
        <x:v>ح ق ق</x:v>
      </x:c>
      <x:c r="B134" s="60" t="str">
        <x:v>P1 — أصول تأسيسية عالية الأثر</x:v>
      </x:c>
      <x:c r="C134" s="60" t="str">
        <x:v>حَقَّ</x:v>
      </x:c>
      <x:c r="D134" s="62" t="n">
        <x:v>20</x:v>
      </x:c>
      <x:c r="E134" s="60" t="str">
        <x:v>فعل</x:v>
      </x:c>
      <x:c r="F134" s="60" t="str">
        <x:v>V</x:v>
      </x:c>
      <x:c r="G134" s="60" t="str">
        <x:v>1</x:v>
      </x:c>
      <x:c r="H134" s="62" t="n">
        <x:v>6</x:v>
      </x:c>
      <x:c r="I134" s="60" t="str">
        <x:v>حَقَّ، حَقَّتْ، فَحَقَّ، وَحُقَّتْ، وَيَحِقَّ</x:v>
      </x:c>
      <x:c r="J134" s="60" t="str">
        <x:v>7:30:4؛ 10:33:2؛ 10:96:3؛ 16:36:18</x:v>
      </x:c>
      <x:c r="K134" s="60" t="str">
        <x:v>مرشح بنيوي؛ لا تُستنتج الدلالة من اللمة وحدها</x:v>
      </x:c>
      <x:c r="L134" s="60" t="str">
        <x:v>https://corpus.quran.com/qurandictionary.jsp?q=Hqq</x:v>
      </x:c>
    </x:row>
    <x:row r="135">
      <x:c r="A135" s="60" t="str">
        <x:v>ح ق ق</x:v>
      </x:c>
      <x:c r="B135" s="60" t="str">
        <x:v>P1 — أصول تأسيسية عالية الأثر</x:v>
      </x:c>
      <x:c r="C135" s="60" t="str">
        <x:v>أَحَقّ</x:v>
      </x:c>
      <x:c r="D135" s="62" t="n">
        <x:v>10</x:v>
      </x:c>
      <x:c r="E135" s="60" t="str">
        <x:v>اسم</x:v>
      </x:c>
      <x:c r="F135" s="60" t="str">
        <x:v>N</x:v>
      </x:c>
      <x:c r="G135" s="60" t="str">
        <x:v>—</x:v>
      </x:c>
      <x:c r="H135" s="62" t="n">
        <x:v>2</x:v>
      </x:c>
      <x:c r="I135" s="60" t="str">
        <x:v>أَحَقُّ، أَحَقَّ</x:v>
      </x:c>
      <x:c r="J135" s="60" t="str">
        <x:v>2:228:23؛ 2:247:18؛ 5:107:18؛ 6:81:18</x:v>
      </x:c>
      <x:c r="K135" s="60" t="str">
        <x:v>مرشح بنيوي؛ لا تُستنتج الدلالة من اللمة وحدها</x:v>
      </x:c>
      <x:c r="L135" s="60" t="str">
        <x:v>https://corpus.quran.com/qurandictionary.jsp?q=Hqq</x:v>
      </x:c>
    </x:row>
    <x:row r="136">
      <x:c r="A136" s="60" t="str">
        <x:v>ح ق ق</x:v>
      </x:c>
      <x:c r="B136" s="60" t="str">
        <x:v>P1 — أصول تأسيسية عالية الأثر</x:v>
      </x:c>
      <x:c r="C136" s="60" t="str">
        <x:v>يُحِقَّ</x:v>
      </x:c>
      <x:c r="D136" s="62" t="n">
        <x:v>4</x:v>
      </x:c>
      <x:c r="E136" s="60" t="str">
        <x:v>فعل</x:v>
      </x:c>
      <x:c r="F136" s="60" t="str">
        <x:v>V</x:v>
      </x:c>
      <x:c r="G136" s="60" t="str">
        <x:v>4</x:v>
      </x:c>
      <x:c r="H136" s="62" t="n">
        <x:v>3</x:v>
      </x:c>
      <x:c r="I136" s="60" t="str">
        <x:v>وَيُحِقُّ، يُحِقَّ، لِيُحِقَّ</x:v>
      </x:c>
      <x:c r="J136" s="60" t="str">
        <x:v>8:7:18؛ 8:8:1؛ 10:82:1؛ 42:24:16</x:v>
      </x:c>
      <x:c r="K136" s="60" t="str">
        <x:v>مرشح بنيوي؛ لا تُستنتج الدلالة من اللمة وحدها</x:v>
      </x:c>
      <x:c r="L136" s="60" t="str">
        <x:v>https://corpus.quran.com/qurandictionary.jsp?q=Hqq</x:v>
      </x:c>
    </x:row>
    <x:row r="137">
      <x:c r="A137" s="60" t="str">
        <x:v>ح ق ق</x:v>
      </x:c>
      <x:c r="B137" s="60" t="str">
        <x:v>P1 — أصول تأسيسية عالية الأثر</x:v>
      </x:c>
      <x:c r="C137" s="60" t="str">
        <x:v>حاقَّة</x:v>
      </x:c>
      <x:c r="D137" s="62" t="n">
        <x:v>3</x:v>
      </x:c>
      <x:c r="E137" s="60" t="str">
        <x:v>اسم</x:v>
      </x:c>
      <x:c r="F137" s="60" t="str">
        <x:v>N</x:v>
      </x:c>
      <x:c r="G137" s="60" t="str">
        <x:v>1</x:v>
      </x:c>
      <x:c r="H137" s="62" t="n">
        <x:v>1</x:v>
      </x:c>
      <x:c r="I137" s="60" t="str">
        <x:v>ٱلْحَآقَّةُ</x:v>
      </x:c>
      <x:c r="J137" s="60" t="str">
        <x:v>69:1:1؛ 69:2:2؛ 69:3:4</x:v>
      </x:c>
      <x:c r="K137" s="60" t="str">
        <x:v>مرشح بنيوي؛ لا تُستنتج الدلالة من اللمة وحدها</x:v>
      </x:c>
      <x:c r="L137" s="60" t="str">
        <x:v>https://corpus.quran.com/qurandictionary.jsp?q=Hqq</x:v>
      </x:c>
    </x:row>
    <x:row r="138">
      <x:c r="A138" s="60" t="str">
        <x:v>ح ق ق</x:v>
      </x:c>
      <x:c r="B138" s="60" t="str">
        <x:v>P1 — أصول تأسيسية عالية الأثر</x:v>
      </x:c>
      <x:c r="C138" s="60" t="str">
        <x:v>اسْتَحَقَّ</x:v>
      </x:c>
      <x:c r="D138" s="62" t="n">
        <x:v>2</x:v>
      </x:c>
      <x:c r="E138" s="60" t="str">
        <x:v>فعل</x:v>
      </x:c>
      <x:c r="F138" s="60" t="str">
        <x:v>V</x:v>
      </x:c>
      <x:c r="G138" s="60" t="str">
        <x:v>10</x:v>
      </x:c>
      <x:c r="H138" s="62" t="n">
        <x:v>2</x:v>
      </x:c>
      <x:c r="I138" s="60" t="str">
        <x:v>ٱسْتَحَقَّآ، ٱسْتَحَقَّ</x:v>
      </x:c>
      <x:c r="J138" s="60" t="str">
        <x:v>5:107:5؛ 5:107:12</x:v>
      </x:c>
      <x:c r="K138" s="60" t="str">
        <x:v>مرشح بنيوي؛ لا تُستنتج الدلالة من اللمة وحدها</x:v>
      </x:c>
      <x:c r="L138" s="60" t="str">
        <x:v>https://corpus.quran.com/qurandictionary.jsp?q=Hqq</x:v>
      </x:c>
    </x:row>
    <x:row r="139">
      <x:c r="A139" s="60" t="str">
        <x:v>ح ق ق</x:v>
      </x:c>
      <x:c r="B139" s="60" t="str">
        <x:v>P1 — أصول تأسيسية عالية الأثر</x:v>
      </x:c>
      <x:c r="C139" s="60" t="str">
        <x:v>حَقِيق</x:v>
      </x:c>
      <x:c r="D139" s="62" t="n">
        <x:v>1</x:v>
      </x:c>
      <x:c r="E139" s="60" t="str">
        <x:v>اسم</x:v>
      </x:c>
      <x:c r="F139" s="60" t="str">
        <x:v>N</x:v>
      </x:c>
      <x:c r="G139" s="60" t="str">
        <x:v>—</x:v>
      </x:c>
      <x:c r="H139" s="62" t="n">
        <x:v>1</x:v>
      </x:c>
      <x:c r="I139" s="60" t="str">
        <x:v>حَقِيقٌ</x:v>
      </x:c>
      <x:c r="J139" s="60" t="str">
        <x:v>7:105:1</x:v>
      </x:c>
      <x:c r="K139" s="60" t="str">
        <x:v>مرشح بنيوي؛ لا تُستنتج الدلالة من اللمة وحدها</x:v>
      </x:c>
      <x:c r="L139" s="60" t="str">
        <x:v>https://corpus.quran.com/qurandictionary.jsp?q=Hqq</x:v>
      </x:c>
    </x:row>
    <x:row r="140">
      <x:c r="A140" s="60" t="str">
        <x:v>أ م ر</x:v>
      </x:c>
      <x:c r="B140" s="60" t="str">
        <x:v>P1 — أصول تأسيسية عالية الأثر</x:v>
      </x:c>
      <x:c r="C140" s="60" t="str">
        <x:v>أَمْر</x:v>
      </x:c>
      <x:c r="D140" s="62" t="n">
        <x:v>166</x:v>
      </x:c>
      <x:c r="E140" s="60" t="str">
        <x:v>اسم</x:v>
      </x:c>
      <x:c r="F140" s="60" t="str">
        <x:v>N</x:v>
      </x:c>
      <x:c r="G140" s="60" t="str">
        <x:v>—</x:v>
      </x:c>
      <x:c r="H140" s="62" t="n">
        <x:v>40</x:v>
      </x:c>
      <x:c r="I140" s="60" t="str">
        <x:v>أَمْرًا، ٱلْأَمْرِ، أَمْرُ، ٱلْأَمْرُ، أَمْرِ</x:v>
      </x:c>
      <x:c r="J140" s="60" t="str">
        <x:v>2:109:27؛ 2:117:6؛ 2:210:13؛ 2:210:17</x:v>
      </x:c>
      <x:c r="K140" s="60" t="str">
        <x:v>مرشح بنيوي؛ لا تُستنتج الدلالة من اللمة وحدها</x:v>
      </x:c>
      <x:c r="L140" s="60" t="str">
        <x:v>https://corpus.quran.com/qurandictionary.jsp?q=Amr</x:v>
      </x:c>
    </x:row>
    <x:row r="141">
      <x:c r="A141" s="60" t="str">
        <x:v>أ م ر</x:v>
      </x:c>
      <x:c r="B141" s="60" t="str">
        <x:v>P1 — أصول تأسيسية عالية الأثر</x:v>
      </x:c>
      <x:c r="C141" s="60" t="str">
        <x:v>أَمَرَ</x:v>
      </x:c>
      <x:c r="D141" s="62" t="n">
        <x:v>77</x:v>
      </x:c>
      <x:c r="E141" s="60" t="str">
        <x:v>فعل</x:v>
      </x:c>
      <x:c r="F141" s="60" t="str">
        <x:v>V</x:v>
      </x:c>
      <x:c r="G141" s="60" t="str">
        <x:v>1</x:v>
      </x:c>
      <x:c r="H141" s="62" t="n">
        <x:v>38</x:v>
      </x:c>
      <x:c r="I141" s="60" t="str">
        <x:v>أَمَرَ، وَأُمِرْتُ، أُمِرْتُ، يَأْمُرُ، وَيَأْمُرُونَ</x:v>
      </x:c>
      <x:c r="J141" s="60" t="str">
        <x:v>2:27:10؛ 2:44:1؛ 2:67:7؛ 2:68:23</x:v>
      </x:c>
      <x:c r="K141" s="60" t="str">
        <x:v>مرشح بنيوي؛ لا تُستنتج الدلالة من اللمة وحدها</x:v>
      </x:c>
      <x:c r="L141" s="60" t="str">
        <x:v>https://corpus.quran.com/qurandictionary.jsp?q=Amr</x:v>
      </x:c>
    </x:row>
    <x:row r="142">
      <x:c r="A142" s="60" t="str">
        <x:v>أ م ر</x:v>
      </x:c>
      <x:c r="B142" s="60" t="str">
        <x:v>P1 — أصول تأسيسية عالية الأثر</x:v>
      </x:c>
      <x:c r="C142" s="60" t="str">
        <x:v>يَأْتَمِرُ</x:v>
      </x:c>
      <x:c r="D142" s="62" t="n">
        <x:v>2</x:v>
      </x:c>
      <x:c r="E142" s="60" t="str">
        <x:v>فعل</x:v>
      </x:c>
      <x:c r="F142" s="60" t="str">
        <x:v>V</x:v>
      </x:c>
      <x:c r="G142" s="60" t="str">
        <x:v>8</x:v>
      </x:c>
      <x:c r="H142" s="62" t="n">
        <x:v>2</x:v>
      </x:c>
      <x:c r="I142" s="60" t="str">
        <x:v>يَأْتَمِرُونَ، وَأْتَمِرُوا۟</x:v>
      </x:c>
      <x:c r="J142" s="60" t="str">
        <x:v>28:20:11؛ 65:6:25</x:v>
      </x:c>
      <x:c r="K142" s="60" t="str">
        <x:v>مرشح بنيوي؛ لا تُستنتج الدلالة من اللمة وحدها</x:v>
      </x:c>
      <x:c r="L142" s="60" t="str">
        <x:v>https://corpus.quran.com/qurandictionary.jsp?q=Amr</x:v>
      </x:c>
    </x:row>
    <x:row r="143">
      <x:c r="A143" s="60" t="str">
        <x:v>أ م ر</x:v>
      </x:c>
      <x:c r="B143" s="60" t="str">
        <x:v>P1 — أصول تأسيسية عالية الأثر</x:v>
      </x:c>
      <x:c r="C143" s="60" t="str">
        <x:v>آمِر</x:v>
      </x:c>
      <x:c r="D143" s="62" t="n">
        <x:v>1</x:v>
      </x:c>
      <x:c r="E143" s="60" t="str">
        <x:v>اسم</x:v>
      </x:c>
      <x:c r="F143" s="60" t="str">
        <x:v>N</x:v>
      </x:c>
      <x:c r="G143" s="60" t="str">
        <x:v>1</x:v>
      </x:c>
      <x:c r="H143" s="62" t="n">
        <x:v>1</x:v>
      </x:c>
      <x:c r="I143" s="60" t="str">
        <x:v>ٱلْءَامِرُونَ</x:v>
      </x:c>
      <x:c r="J143" s="60" t="str">
        <x:v>9:112:7</x:v>
      </x:c>
      <x:c r="K143" s="60" t="str">
        <x:v>مرشح بنيوي؛ لا تُستنتج الدلالة من اللمة وحدها</x:v>
      </x:c>
      <x:c r="L143" s="60" t="str">
        <x:v>https://corpus.quran.com/qurandictionary.jsp?q=Amr</x:v>
      </x:c>
    </x:row>
    <x:row r="144">
      <x:c r="A144" s="60" t="str">
        <x:v>أ م ر</x:v>
      </x:c>
      <x:c r="B144" s="60" t="str">
        <x:v>P1 — أصول تأسيسية عالية الأثر</x:v>
      </x:c>
      <x:c r="C144" s="60" t="str">
        <x:v>أَمّارَة</x:v>
      </x:c>
      <x:c r="D144" s="62" t="n">
        <x:v>1</x:v>
      </x:c>
      <x:c r="E144" s="60" t="str">
        <x:v>اسم</x:v>
      </x:c>
      <x:c r="F144" s="60" t="str">
        <x:v>N</x:v>
      </x:c>
      <x:c r="G144" s="60" t="str">
        <x:v>—</x:v>
      </x:c>
      <x:c r="H144" s="62" t="n">
        <x:v>1</x:v>
      </x:c>
      <x:c r="I144" s="60" t="str">
        <x:v>لَأَمَّارَةٌۢ</x:v>
      </x:c>
      <x:c r="J144" s="60" t="str">
        <x:v>12:53:6</x:v>
      </x:c>
      <x:c r="K144" s="60" t="str">
        <x:v>مرشح بنيوي؛ لا تُستنتج الدلالة من اللمة وحدها</x:v>
      </x:c>
      <x:c r="L144" s="60" t="str">
        <x:v>https://corpus.quran.com/qurandictionary.jsp?q=Amr</x:v>
      </x:c>
    </x:row>
    <x:row r="145">
      <x:c r="A145" s="60" t="str">
        <x:v>أ م ر</x:v>
      </x:c>
      <x:c r="B145" s="60" t="str">
        <x:v>P1 — أصول تأسيسية عالية الأثر</x:v>
      </x:c>
      <x:c r="C145" s="60" t="str">
        <x:v>إِمْر</x:v>
      </x:c>
      <x:c r="D145" s="62" t="n">
        <x:v>1</x:v>
      </x:c>
      <x:c r="E145" s="60" t="str">
        <x:v>اسم</x:v>
      </x:c>
      <x:c r="F145" s="60" t="str">
        <x:v>N</x:v>
      </x:c>
      <x:c r="G145" s="60" t="str">
        <x:v>—</x:v>
      </x:c>
      <x:c r="H145" s="62" t="n">
        <x:v>1</x:v>
      </x:c>
      <x:c r="I145" s="60" t="str">
        <x:v>إِمْرًا</x:v>
      </x:c>
      <x:c r="J145" s="60" t="str">
        <x:v>18:71:15</x:v>
      </x:c>
      <x:c r="K145" s="60" t="str">
        <x:v>مرشح بنيوي؛ لا تُستنتج الدلالة من اللمة وحدها</x:v>
      </x:c>
      <x:c r="L145" s="60" t="str">
        <x:v>https://corpus.quran.com/qurandictionary.jsp?q=Amr</x:v>
      </x:c>
    </x:row>
    <x:row r="146">
      <x:c r="A146" s="60" t="str">
        <x:v>ك و ن</x:v>
      </x:c>
      <x:c r="B146" s="60" t="str">
        <x:v>P1 — أصول تأسيسية عالية الأثر</x:v>
      </x:c>
      <x:c r="C146" s="60" t="str">
        <x:v>كانَ</x:v>
      </x:c>
      <x:c r="D146" s="62" t="n">
        <x:v>1358</x:v>
      </x:c>
      <x:c r="E146" s="60" t="str">
        <x:v>فعل</x:v>
      </x:c>
      <x:c r="F146" s="60" t="str">
        <x:v>V</x:v>
      </x:c>
      <x:c r="G146" s="60" t="str">
        <x:v>1</x:v>
      </x:c>
      <x:c r="H146" s="62" t="n">
        <x:v>109</x:v>
      </x:c>
      <x:c r="I146" s="60" t="str">
        <x:v>كَانَ، كَانُوا۟، كُنتُمْ، وَكَانَ، كُنَّا</x:v>
      </x:c>
      <x:c r="J146" s="60" t="str">
        <x:v>2:10:11؛ 2:16:10؛ 2:23:2؛ 2:23:19</x:v>
      </x:c>
      <x:c r="K146" s="60" t="str">
        <x:v>مرشح بنيوي؛ لا تُستنتج الدلالة من اللمة وحدها</x:v>
      </x:c>
      <x:c r="L146" s="60" t="str">
        <x:v>https://corpus.quran.com/qurandictionary.jsp?q=kwn</x:v>
      </x:c>
    </x:row>
    <x:row r="147">
      <x:c r="A147" s="60" t="str">
        <x:v>ك و ن</x:v>
      </x:c>
      <x:c r="B147" s="60" t="str">
        <x:v>P1 — أصول تأسيسية عالية الأثر</x:v>
      </x:c>
      <x:c r="C147" s="60" t="str">
        <x:v>مَكان</x:v>
      </x:c>
      <x:c r="D147" s="62" t="n">
        <x:v>27</x:v>
      </x:c>
      <x:c r="E147" s="60" t="str">
        <x:v>اسم</x:v>
      </x:c>
      <x:c r="F147" s="60" t="str">
        <x:v>N</x:v>
      </x:c>
      <x:c r="G147" s="60" t="str">
        <x:v>—</x:v>
      </x:c>
      <x:c r="H147" s="62" t="n">
        <x:v>10</x:v>
      </x:c>
      <x:c r="I147" s="60" t="str">
        <x:v>مَكَانًا، مَّكَانًا، مَكَانٍ، مَّكَانٍۭ، مَّكَانَ</x:v>
      </x:c>
      <x:c r="J147" s="60" t="str">
        <x:v>4:20:5؛ 5:60:23؛ 7:95:3؛ 7:143:21</x:v>
      </x:c>
      <x:c r="K147" s="60" t="str">
        <x:v>مرشح بنيوي؛ لا تُستنتج الدلالة من اللمة وحدها</x:v>
      </x:c>
      <x:c r="L147" s="60" t="str">
        <x:v>https://corpus.quran.com/qurandictionary.jsp?q=kwn</x:v>
      </x:c>
    </x:row>
    <x:row r="148">
      <x:c r="A148" s="60" t="str">
        <x:v>ك و ن</x:v>
      </x:c>
      <x:c r="B148" s="60" t="str">
        <x:v>P1 — أصول تأسيسية عالية الأثر</x:v>
      </x:c>
      <x:c r="C148" s="60" t="str">
        <x:v>مَكانَت</x:v>
      </x:c>
      <x:c r="D148" s="62" t="n">
        <x:v>5</x:v>
      </x:c>
      <x:c r="E148" s="60" t="str">
        <x:v>اسم</x:v>
      </x:c>
      <x:c r="F148" s="60" t="str">
        <x:v>N</x:v>
      </x:c>
      <x:c r="G148" s="60" t="str">
        <x:v>—</x:v>
      </x:c>
      <x:c r="H148" s="62" t="n">
        <x:v>2</x:v>
      </x:c>
      <x:c r="I148" s="60" t="str">
        <x:v>مَكَانَتِكُمْ، مَكَانَتِهِمْ</x:v>
      </x:c>
      <x:c r="J148" s="60" t="str">
        <x:v>6:135:5؛ 11:93:4؛ 11:121:7؛ 36:67:5</x:v>
      </x:c>
      <x:c r="K148" s="60" t="str">
        <x:v>مرشح بنيوي؛ لا تُستنتج الدلالة من اللمة وحدها</x:v>
      </x:c>
      <x:c r="L148" s="60" t="str">
        <x:v>https://corpus.quran.com/qurandictionary.jsp?q=kwn</x:v>
      </x:c>
    </x:row>
    <x:row r="149">
      <x:c r="A149" s="60" t="str">
        <x:v>ض ل ل</x:v>
      </x:c>
      <x:c r="B149" s="60" t="str">
        <x:v>P1 — أصول تأسيسية عالية الأثر</x:v>
      </x:c>
      <x:c r="C149" s="60" t="str">
        <x:v>أَضَلَّ</x:v>
      </x:c>
      <x:c r="D149" s="62" t="n">
        <x:v>64</x:v>
      </x:c>
      <x:c r="E149" s="60" t="str">
        <x:v>فعل</x:v>
      </x:c>
      <x:c r="F149" s="60" t="str">
        <x:v>V</x:v>
      </x:c>
      <x:c r="G149" s="60" t="str">
        <x:v>4</x:v>
      </x:c>
      <x:c r="H149" s="62" t="n">
        <x:v>37</x:v>
      </x:c>
      <x:c r="I149" s="60" t="str">
        <x:v>يُضِلُّ، يُضْلِلِ، أَضَلَّ، يُضْلِلْ، لِيُضِلَّ</x:v>
      </x:c>
      <x:c r="J149" s="60" t="str">
        <x:v>2:26:29؛ 2:26:36؛ 3:69:7؛ 3:69:9</x:v>
      </x:c>
      <x:c r="K149" s="60" t="str">
        <x:v>مرشح بنيوي؛ لا تُستنتج الدلالة من اللمة وحدها</x:v>
      </x:c>
      <x:c r="L149" s="60" t="str">
        <x:v>https://corpus.quran.com/qurandictionary.jsp?q=Dll</x:v>
      </x:c>
    </x:row>
    <x:row r="150">
      <x:c r="A150" s="60" t="str">
        <x:v>ض ل ل</x:v>
      </x:c>
      <x:c r="B150" s="60" t="str">
        <x:v>P1 — أصول تأسيسية عالية الأثر</x:v>
      </x:c>
      <x:c r="C150" s="60" t="str">
        <x:v>ضَلَّ</x:v>
      </x:c>
      <x:c r="D150" s="62" t="n">
        <x:v>53</x:v>
      </x:c>
      <x:c r="E150" s="60" t="str">
        <x:v>فعل</x:v>
      </x:c>
      <x:c r="F150" s="60" t="str">
        <x:v>V</x:v>
      </x:c>
      <x:c r="G150" s="60" t="str">
        <x:v>1</x:v>
      </x:c>
      <x:c r="H150" s="62" t="n">
        <x:v>14</x:v>
      </x:c>
      <x:c r="I150" s="60" t="str">
        <x:v>ضَلَّ، ضَلُّوا۟، وَضَلَّ، يَضِلُّ، تَضِلُّوا۟</x:v>
      </x:c>
      <x:c r="J150" s="60" t="str">
        <x:v>2:108:16؛ 2:282:67؛ 4:44:13؛ 4:116:18</x:v>
      </x:c>
      <x:c r="K150" s="60" t="str">
        <x:v>مرشح بنيوي؛ لا تُستنتج الدلالة من اللمة وحدها</x:v>
      </x:c>
      <x:c r="L150" s="60" t="str">
        <x:v>https://corpus.quran.com/qurandictionary.jsp?q=Dll</x:v>
      </x:c>
    </x:row>
    <x:row r="151">
      <x:c r="A151" s="60" t="str">
        <x:v>ض ل ل</x:v>
      </x:c>
      <x:c r="B151" s="60" t="str">
        <x:v>P1 — أصول تأسيسية عالية الأثر</x:v>
      </x:c>
      <x:c r="C151" s="60" t="str">
        <x:v>ضَلال</x:v>
      </x:c>
      <x:c r="D151" s="62" t="n">
        <x:v>38</x:v>
      </x:c>
      <x:c r="E151" s="60" t="str">
        <x:v>اسم</x:v>
      </x:c>
      <x:c r="F151" s="60" t="str">
        <x:v>N</x:v>
      </x:c>
      <x:c r="G151" s="60" t="str">
        <x:v>—</x:v>
      </x:c>
      <x:c r="H151" s="62" t="n">
        <x:v>7</x:v>
      </x:c>
      <x:c r="I151" s="60" t="str">
        <x:v>ضَلَٰلٍ، ضَلَٰلًۢا، ٱلضَّلَٰلُ، ضَلَٰلٍۭ، ضَلَٰلًا</x:v>
      </x:c>
      <x:c r="J151" s="60" t="str">
        <x:v>3:164:24؛ 4:60:29؛ 4:116:19؛ 4:136:27</x:v>
      </x:c>
      <x:c r="K151" s="60" t="str">
        <x:v>مرشح بنيوي؛ لا تُستنتج الدلالة من اللمة وحدها</x:v>
      </x:c>
      <x:c r="L151" s="60" t="str">
        <x:v>https://corpus.quran.com/qurandictionary.jsp?q=Dll</x:v>
      </x:c>
    </x:row>
    <x:row r="152">
      <x:c r="A152" s="60" t="str">
        <x:v>ض ل ل</x:v>
      </x:c>
      <x:c r="B152" s="60" t="str">
        <x:v>P1 — أصول تأسيسية عالية الأثر</x:v>
      </x:c>
      <x:c r="C152" s="60" t="str">
        <x:v>ضالّ</x:v>
      </x:c>
      <x:c r="D152" s="62" t="n">
        <x:v>14</x:v>
      </x:c>
      <x:c r="E152" s="60" t="str">
        <x:v>اسم</x:v>
      </x:c>
      <x:c r="F152" s="60" t="str">
        <x:v>N</x:v>
      </x:c>
      <x:c r="G152" s="60" t="str">
        <x:v>1</x:v>
      </x:c>
      <x:c r="H152" s="62" t="n">
        <x:v>5</x:v>
      </x:c>
      <x:c r="I152" s="60" t="str">
        <x:v>ٱلضَّآلِّينَ، ٱلضَّآلُّونَ، ضَآلِّينَ، لَضَآلُّونَ، ضَآلًّا</x:v>
      </x:c>
      <x:c r="J152" s="60" t="str">
        <x:v>1:7:9؛ 2:198:26؛ 3:90:14؛ 6:77:18</x:v>
      </x:c>
      <x:c r="K152" s="60" t="str">
        <x:v>مرشح بنيوي؛ لا تُستنتج الدلالة من اللمة وحدها</x:v>
      </x:c>
      <x:c r="L152" s="60" t="str">
        <x:v>https://corpus.quran.com/qurandictionary.jsp?q=Dll</x:v>
      </x:c>
    </x:row>
    <x:row r="153">
      <x:c r="A153" s="60" t="str">
        <x:v>ض ل ل</x:v>
      </x:c>
      <x:c r="B153" s="60" t="str">
        <x:v>P1 — أصول تأسيسية عالية الأثر</x:v>
      </x:c>
      <x:c r="C153" s="60" t="str">
        <x:v>أَضَلّ</x:v>
      </x:c>
      <x:c r="D153" s="62" t="n">
        <x:v>9</x:v>
      </x:c>
      <x:c r="E153" s="60" t="str">
        <x:v>اسم</x:v>
      </x:c>
      <x:c r="F153" s="60" t="str">
        <x:v>N</x:v>
      </x:c>
      <x:c r="G153" s="60" t="str">
        <x:v>—</x:v>
      </x:c>
      <x:c r="H153" s="62" t="n">
        <x:v>2</x:v>
      </x:c>
      <x:c r="I153" s="60" t="str">
        <x:v>أَضَلُّ، وَأَضَلُّ</x:v>
      </x:c>
      <x:c r="J153" s="60" t="str">
        <x:v>5:60:24؛ 7:179:27؛ 17:72:10؛ 25:34:10</x:v>
      </x:c>
      <x:c r="K153" s="60" t="str">
        <x:v>مرشح بنيوي؛ لا تُستنتج الدلالة من اللمة وحدها</x:v>
      </x:c>
      <x:c r="L153" s="60" t="str">
        <x:v>https://corpus.quran.com/qurandictionary.jsp?q=Dll</x:v>
      </x:c>
    </x:row>
    <x:row r="154">
      <x:c r="A154" s="60" t="str">
        <x:v>ض ل ل</x:v>
      </x:c>
      <x:c r="B154" s="60" t="str">
        <x:v>P1 — أصول تأسيسية عالية الأثر</x:v>
      </x:c>
      <x:c r="C154" s="60" t="str">
        <x:v>ضَلالَة</x:v>
      </x:c>
      <x:c r="D154" s="62" t="n">
        <x:v>9</x:v>
      </x:c>
      <x:c r="E154" s="60" t="str">
        <x:v>اسم</x:v>
      </x:c>
      <x:c r="F154" s="60" t="str">
        <x:v>N</x:v>
      </x:c>
      <x:c r="G154" s="60" t="str">
        <x:v>—</x:v>
      </x:c>
      <x:c r="H154" s="62" t="n">
        <x:v>5</x:v>
      </x:c>
      <x:c r="I154" s="60" t="str">
        <x:v>ٱلضَّلَٰلَةَ، ٱلضَّلَٰلَةُ، ضَلَٰلَتِهِمْ، ضَلَٰلَةٌ، ٱلضَّلَٰلَةِ</x:v>
      </x:c>
      <x:c r="J154" s="60" t="str">
        <x:v>2:16:4؛ 2:175:4؛ 4:44:10؛ 7:30:6</x:v>
      </x:c>
      <x:c r="K154" s="60" t="str">
        <x:v>مرشح بنيوي؛ لا تُستنتج الدلالة من اللمة وحدها</x:v>
      </x:c>
      <x:c r="L154" s="60" t="str">
        <x:v>https://corpus.quran.com/qurandictionary.jsp?q=Dll</x:v>
      </x:c>
    </x:row>
    <x:row r="155">
      <x:c r="A155" s="60" t="str">
        <x:v>ض ل ل</x:v>
      </x:c>
      <x:c r="B155" s="60" t="str">
        <x:v>P1 — أصول تأسيسية عالية الأثر</x:v>
      </x:c>
      <x:c r="C155" s="60" t="str">
        <x:v>مُضِلّ</x:v>
      </x:c>
      <x:c r="D155" s="62" t="n">
        <x:v>3</x:v>
      </x:c>
      <x:c r="E155" s="60" t="str">
        <x:v>اسم</x:v>
      </x:c>
      <x:c r="F155" s="60" t="str">
        <x:v>N</x:v>
      </x:c>
      <x:c r="G155" s="60" t="str">
        <x:v>4</x:v>
      </x:c>
      <x:c r="H155" s="62" t="n">
        <x:v>3</x:v>
      </x:c>
      <x:c r="I155" s="60" t="str">
        <x:v>ٱلْمُضِلِّينَ، مُّضِلٌّ، مُّضِلٍّ</x:v>
      </x:c>
      <x:c r="J155" s="60" t="str">
        <x:v>18:51:12؛ 28:15:37؛ 39:37:7</x:v>
      </x:c>
      <x:c r="K155" s="60" t="str">
        <x:v>مرشح بنيوي؛ لا تُستنتج الدلالة من اللمة وحدها</x:v>
      </x:c>
      <x:c r="L155" s="60" t="str">
        <x:v>https://corpus.quran.com/qurandictionary.jsp?q=Dll</x:v>
      </x:c>
    </x:row>
    <x:row r="156">
      <x:c r="A156" s="60" t="str">
        <x:v>ض ل ل</x:v>
      </x:c>
      <x:c r="B156" s="60" t="str">
        <x:v>P1 — أصول تأسيسية عالية الأثر</x:v>
      </x:c>
      <x:c r="C156" s="60" t="str">
        <x:v>تَضْلِيل</x:v>
      </x:c>
      <x:c r="D156" s="62" t="n">
        <x:v>1</x:v>
      </x:c>
      <x:c r="E156" s="60" t="str">
        <x:v>اسم</x:v>
      </x:c>
      <x:c r="F156" s="60" t="str">
        <x:v>N</x:v>
      </x:c>
      <x:c r="G156" s="60" t="str">
        <x:v>2</x:v>
      </x:c>
      <x:c r="H156" s="62" t="n">
        <x:v>1</x:v>
      </x:c>
      <x:c r="I156" s="60" t="str">
        <x:v>تَضْلِيلٍ</x:v>
      </x:c>
      <x:c r="J156" s="60" t="str">
        <x:v>105:2:5</x:v>
      </x:c>
      <x:c r="K156" s="60" t="str">
        <x:v>مرشح بنيوي؛ لا تُستنتج الدلالة من اللمة وحدها</x:v>
      </x:c>
      <x:c r="L156" s="60" t="str">
        <x:v>https://corpus.quran.com/qurandictionary.jsp?q=Dll</x:v>
      </x:c>
    </x:row>
    <x:row r="157">
      <x:c r="A157" s="60" t="str">
        <x:v>ع م ل</x:v>
      </x:c>
      <x:c r="B157" s="60" t="str">
        <x:v>P1 — أصول تأسيسية عالية الأثر</x:v>
      </x:c>
      <x:c r="C157" s="60" t="str">
        <x:v>عَمِلَ</x:v>
      </x:c>
      <x:c r="D157" s="62" t="n">
        <x:v>276</x:v>
      </x:c>
      <x:c r="E157" s="60" t="str">
        <x:v>فعل</x:v>
      </x:c>
      <x:c r="F157" s="60" t="str">
        <x:v>V</x:v>
      </x:c>
      <x:c r="G157" s="60" t="str">
        <x:v>1</x:v>
      </x:c>
      <x:c r="H157" s="62" t="n">
        <x:v>28</x:v>
      </x:c>
      <x:c r="I157" s="60" t="str">
        <x:v>تَعْمَلُونَ، يَعْمَلُونَ، وَعَمِلُوا۟، عَمِلُوا۟، وَعَمِلَ</x:v>
      </x:c>
      <x:c r="J157" s="60" t="str">
        <x:v>2:25:4؛ 2:62:13؛ 2:74:37؛ 2:82:3</x:v>
      </x:c>
      <x:c r="K157" s="60" t="str">
        <x:v>مرشح بنيوي؛ لا تُستنتج الدلالة من اللمة وحدها</x:v>
      </x:c>
      <x:c r="L157" s="60" t="str">
        <x:v>https://corpus.quran.com/qurandictionary.jsp?q=Eml</x:v>
      </x:c>
    </x:row>
    <x:row r="158">
      <x:c r="A158" s="60" t="str">
        <x:v>ع م ل</x:v>
      </x:c>
      <x:c r="B158" s="60" t="str">
        <x:v>P1 — أصول تأسيسية عالية الأثر</x:v>
      </x:c>
      <x:c r="C158" s="60" t="str">
        <x:v>عَمَل</x:v>
      </x:c>
      <x:c r="D158" s="62" t="n">
        <x:v>71</x:v>
      </x:c>
      <x:c r="E158" s="60" t="str">
        <x:v>اسم</x:v>
      </x:c>
      <x:c r="F158" s="60" t="str">
        <x:v>N</x:v>
      </x:c>
      <x:c r="G158" s="60" t="str">
        <x:v>—</x:v>
      </x:c>
      <x:c r="H158" s="62" t="n">
        <x:v>25</x:v>
      </x:c>
      <x:c r="I158" s="60" t="str">
        <x:v>أَعْمَٰلَهُمْ، أَعْمَٰلُهُمْ، عَمَلًا، أَعْمَٰلُكُمْ، أَعْمَٰلَكُمْ</x:v>
      </x:c>
      <x:c r="J158" s="60" t="str">
        <x:v>2:139:9؛ 2:139:11؛ 2:167:16؛ 2:217:48</x:v>
      </x:c>
      <x:c r="K158" s="60" t="str">
        <x:v>مرشح بنيوي؛ لا تُستنتج الدلالة من اللمة وحدها</x:v>
      </x:c>
      <x:c r="L158" s="60" t="str">
        <x:v>https://corpus.quran.com/qurandictionary.jsp?q=Eml</x:v>
      </x:c>
    </x:row>
    <x:row r="159">
      <x:c r="A159" s="60" t="str">
        <x:v>ع م ل</x:v>
      </x:c>
      <x:c r="B159" s="60" t="str">
        <x:v>P1 — أصول تأسيسية عالية الأثر</x:v>
      </x:c>
      <x:c r="C159" s="60" t="str">
        <x:v>عامِل</x:v>
      </x:c>
      <x:c r="D159" s="62" t="n">
        <x:v>12</x:v>
      </x:c>
      <x:c r="E159" s="60" t="str">
        <x:v>اسم</x:v>
      </x:c>
      <x:c r="F159" s="60" t="str">
        <x:v>N</x:v>
      </x:c>
      <x:c r="G159" s="60" t="str">
        <x:v>1</x:v>
      </x:c>
      <x:c r="H159" s="62" t="n">
        <x:v>7</x:v>
      </x:c>
      <x:c r="I159" s="60" t="str">
        <x:v>ٱلْعَٰمِلِينَ، عَٰمِلُونَ، عَٰمِلٌ، عَٰمِلٍ، عَامِلٌ</x:v>
      </x:c>
      <x:c r="J159" s="60" t="str">
        <x:v>3:136:15؛ 3:195:8؛ 6:135:7؛ 9:60:5</x:v>
      </x:c>
      <x:c r="K159" s="60" t="str">
        <x:v>مرشح بنيوي؛ لا تُستنتج الدلالة من اللمة وحدها</x:v>
      </x:c>
      <x:c r="L159" s="60" t="str">
        <x:v>https://corpus.quran.com/qurandictionary.jsp?q=Eml</x:v>
      </x:c>
    </x:row>
    <x:row r="160">
      <x:c r="A160" s="60" t="str">
        <x:v>ع م ل</x:v>
      </x:c>
      <x:c r="B160" s="60" t="str">
        <x:v>P1 — أصول تأسيسية عالية الأثر</x:v>
      </x:c>
      <x:c r="C160" s="60" t="str">
        <x:v>عامِلَة</x:v>
      </x:c>
      <x:c r="D160" s="62" t="n">
        <x:v>1</x:v>
      </x:c>
      <x:c r="E160" s="60" t="str">
        <x:v>اسم</x:v>
      </x:c>
      <x:c r="F160" s="60" t="str">
        <x:v>N</x:v>
      </x:c>
      <x:c r="G160" s="60" t="str">
        <x:v>1</x:v>
      </x:c>
      <x:c r="H160" s="62" t="n">
        <x:v>1</x:v>
      </x:c>
      <x:c r="I160" s="60" t="str">
        <x:v>عَامِلَةٌ</x:v>
      </x:c>
      <x:c r="J160" s="60" t="str">
        <x:v>88:3:1</x:v>
      </x:c>
      <x:c r="K160" s="60" t="str">
        <x:v>مرشح بنيوي؛ لا تُستنتج الدلالة من اللمة وحدها</x:v>
      </x:c>
      <x:c r="L160" s="60" t="str">
        <x:v>https://corpus.quran.com/qurandictionary.jsp?q=Eml</x:v>
      </x:c>
    </x:row>
    <x:row r="161">
      <x:c r="A161" s="60" t="str">
        <x:v>ر و د (أراد/راود)</x:v>
      </x:c>
      <x:c r="B161" s="60" t="str">
        <x:v>P1 — أصول تأسيسية عالية الأثر</x:v>
      </x:c>
      <x:c r="C161" s="60" t="str">
        <x:v>أَرادَ</x:v>
      </x:c>
      <x:c r="D161" s="62" t="n">
        <x:v>139</x:v>
      </x:c>
      <x:c r="E161" s="60" t="str">
        <x:v>فعل</x:v>
      </x:c>
      <x:c r="F161" s="60" t="str">
        <x:v>V</x:v>
      </x:c>
      <x:c r="G161" s="60" t="str">
        <x:v>4</x:v>
      </x:c>
      <x:c r="H161" s="62" t="n">
        <x:v>40</x:v>
      </x:c>
      <x:c r="I161" s="60" t="str">
        <x:v>يُرِيدُ، أَرَادَ، يُرِيدُونَ، أُرِيدُ، تُرِيدُونَ</x:v>
      </x:c>
      <x:c r="J161" s="60" t="str">
        <x:v>2:26:25؛ 2:108:2؛ 2:185:28؛ 2:185:33</x:v>
      </x:c>
      <x:c r="K161" s="60" t="str">
        <x:v>مرشح بنيوي؛ لا تُستنتج الدلالة من اللمة وحدها</x:v>
      </x:c>
      <x:c r="L161" s="60" t="str">
        <x:v>https://corpus.quran.com/qurandictionary.jsp?q=rwd</x:v>
      </x:c>
    </x:row>
    <x:row r="162">
      <x:c r="A162" s="60" t="str">
        <x:v>ر و د (أراد/راود)</x:v>
      </x:c>
      <x:c r="B162" s="60" t="str">
        <x:v>P1 — أصول تأسيسية عالية الأثر</x:v>
      </x:c>
      <x:c r="C162" s="60" t="str">
        <x:v>راوَدُ</x:v>
      </x:c>
      <x:c r="D162" s="62" t="n">
        <x:v>8</x:v>
      </x:c>
      <x:c r="E162" s="60" t="str">
        <x:v>فعل</x:v>
      </x:c>
      <x:c r="F162" s="60" t="str">
        <x:v>V</x:v>
      </x:c>
      <x:c r="G162" s="60" t="str">
        <x:v>3</x:v>
      </x:c>
      <x:c r="H162" s="62" t="n">
        <x:v>7</x:v>
      </x:c>
      <x:c r="I162" s="60" t="str">
        <x:v>رَٰوَدتُّهُۥ، وَرَٰوَدَتْهُ، رَٰوَدَتْنِى، تُرَٰوِدُ، رَٰوَدتُّنَّ</x:v>
      </x:c>
      <x:c r="J162" s="60" t="str">
        <x:v>12:23:1؛ 12:26:3؛ 12:30:7؛ 12:32:7</x:v>
      </x:c>
      <x:c r="K162" s="60" t="str">
        <x:v>مرشح بنيوي؛ لا تُستنتج الدلالة من اللمة وحدها</x:v>
      </x:c>
      <x:c r="L162" s="60" t="str">
        <x:v>https://corpus.quran.com/qurandictionary.jsp?q=rwd</x:v>
      </x:c>
    </x:row>
    <x:row r="163">
      <x:c r="A163" s="60" t="str">
        <x:v>ر و د (أراد/راود)</x:v>
      </x:c>
      <x:c r="B163" s="60" t="str">
        <x:v>P1 — أصول تأسيسية عالية الأثر</x:v>
      </x:c>
      <x:c r="C163" s="60" t="str">
        <x:v>رُوَيْد</x:v>
      </x:c>
      <x:c r="D163" s="62" t="n">
        <x:v>1</x:v>
      </x:c>
      <x:c r="E163" s="60" t="str">
        <x:v>اسم</x:v>
      </x:c>
      <x:c r="F163" s="60" t="str">
        <x:v>N</x:v>
      </x:c>
      <x:c r="G163" s="60" t="str">
        <x:v>—</x:v>
      </x:c>
      <x:c r="H163" s="62" t="n">
        <x:v>1</x:v>
      </x:c>
      <x:c r="I163" s="60" t="str">
        <x:v>رُوَيْدًۢا</x:v>
      </x:c>
      <x:c r="J163" s="60" t="str">
        <x:v>86:17:4</x:v>
      </x:c>
      <x:c r="K163" s="60" t="str">
        <x:v>مرشح بنيوي؛ لا تُستنتج الدلالة من اللمة وحدها</x:v>
      </x:c>
      <x:c r="L163" s="60" t="str">
        <x:v>https://corpus.quran.com/qurandictionary.jsp?q=rwd</x:v>
      </x:c>
    </x:row>
    <x:row r="164">
      <x:c r="A164" s="60" t="str">
        <x:v>ج ع ل</x:v>
      </x:c>
      <x:c r="B164" s="60" t="str">
        <x:v>P1 — أصول تأسيسية عالية الأثر</x:v>
      </x:c>
      <x:c r="C164" s="60" t="str">
        <x:v>جَعَلَ</x:v>
      </x:c>
      <x:c r="D164" s="62" t="n">
        <x:v>340</x:v>
      </x:c>
      <x:c r="E164" s="60" t="str">
        <x:v>فعل</x:v>
      </x:c>
      <x:c r="F164" s="60" t="str">
        <x:v>V</x:v>
      </x:c>
      <x:c r="G164" s="60" t="str">
        <x:v>1</x:v>
      </x:c>
      <x:c r="H164" s="62" t="n">
        <x:v>111</x:v>
      </x:c>
      <x:c r="I164" s="60" t="str">
        <x:v>جَعَلَ، وَجَعَلْنَا، وَجَعَلَ، جَعَلْنَا، جَعَلْنَٰهُ</x:v>
      </x:c>
      <x:c r="J164" s="60" t="str">
        <x:v>2:19:9؛ 2:22:2؛ 2:22:19؛ 2:30:11</x:v>
      </x:c>
      <x:c r="K164" s="60" t="str">
        <x:v>مرشح بنيوي؛ لا تُستنتج الدلالة من اللمة وحدها</x:v>
      </x:c>
      <x:c r="L164" s="60" t="str">
        <x:v>https://corpus.quran.com/qurandictionary.jsp?q=jEl</x:v>
      </x:c>
    </x:row>
    <x:row r="165">
      <x:c r="A165" s="60" t="str">
        <x:v>ج ع ل</x:v>
      </x:c>
      <x:c r="B165" s="60" t="str">
        <x:v>P1 — أصول تأسيسية عالية الأثر</x:v>
      </x:c>
      <x:c r="C165" s="60" t="str">
        <x:v>جاعِل</x:v>
      </x:c>
      <x:c r="D165" s="62" t="n">
        <x:v>6</x:v>
      </x:c>
      <x:c r="E165" s="60" t="str">
        <x:v>اسم</x:v>
      </x:c>
      <x:c r="F165" s="60" t="str">
        <x:v>N</x:v>
      </x:c>
      <x:c r="G165" s="60" t="str">
        <x:v>1</x:v>
      </x:c>
      <x:c r="H165" s="62" t="n">
        <x:v>6</x:v>
      </x:c>
      <x:c r="I165" s="60" t="str">
        <x:v>جَاعِلٌ، جَاعِلُكَ، وَجَاعِلُ، لَجَٰعِلُونَ، وَجَاعِلُوهُ</x:v>
      </x:c>
      <x:c r="J165" s="60" t="str">
        <x:v>2:30:6؛ 2:124:9؛ 3:55:13؛ 18:8:2</x:v>
      </x:c>
      <x:c r="K165" s="60" t="str">
        <x:v>مرشح بنيوي؛ لا تُستنتج الدلالة من اللمة وحدها</x:v>
      </x:c>
      <x:c r="L165" s="60" t="str">
        <x:v>https://corpus.quran.com/qurandictionary.jsp?q=jEl</x:v>
      </x:c>
    </x:row>
    <x:row r="166">
      <x:c r="A166" s="60" t="str">
        <x:v>ف ع ل</x:v>
      </x:c>
      <x:c r="B166" s="60" t="str">
        <x:v>P1 — أصول تأسيسية عالية الأثر</x:v>
      </x:c>
      <x:c r="C166" s="60" t="str">
        <x:v>فَعَلَ</x:v>
      </x:c>
      <x:c r="D166" s="62" t="n">
        <x:v>88</x:v>
      </x:c>
      <x:c r="E166" s="60" t="str">
        <x:v>فعل</x:v>
      </x:c>
      <x:c r="F166" s="60" t="str">
        <x:v>V</x:v>
      </x:c>
      <x:c r="G166" s="60" t="str">
        <x:v>1</x:v>
      </x:c>
      <x:c r="H166" s="62" t="n">
        <x:v>32</x:v>
      </x:c>
      <x:c r="I166" s="60" t="str">
        <x:v>يَفْعَلُونَ، تَفْعَلُوا۟، يَفْعَلُ، يَفْعَلْ، فَعَلَ</x:v>
      </x:c>
      <x:c r="J166" s="60" t="str">
        <x:v>2:24:3؛ 2:24:5؛ 2:68:21؛ 2:71:24</x:v>
      </x:c>
      <x:c r="K166" s="60" t="str">
        <x:v>مرشح بنيوي؛ لا تُستنتج الدلالة من اللمة وحدها</x:v>
      </x:c>
      <x:c r="L166" s="60" t="str">
        <x:v>https://corpus.quran.com/qurandictionary.jsp?q=fEl</x:v>
      </x:c>
    </x:row>
    <x:row r="167">
      <x:c r="A167" s="60" t="str">
        <x:v>ف ع ل</x:v>
      </x:c>
      <x:c r="B167" s="60" t="str">
        <x:v>P1 — أصول تأسيسية عالية الأثر</x:v>
      </x:c>
      <x:c r="C167" s="60" t="str">
        <x:v>فاعِل</x:v>
      </x:c>
      <x:c r="D167" s="62" t="n">
        <x:v>9</x:v>
      </x:c>
      <x:c r="E167" s="60" t="str">
        <x:v>اسم</x:v>
      </x:c>
      <x:c r="F167" s="60" t="str">
        <x:v>N</x:v>
      </x:c>
      <x:c r="G167" s="60" t="str">
        <x:v>1</x:v>
      </x:c>
      <x:c r="H167" s="62" t="n">
        <x:v>4</x:v>
      </x:c>
      <x:c r="I167" s="60" t="str">
        <x:v>فَٰعِلِينَ، لَفَٰعِلُونَ، فَاعِلٌ، فَٰعِلُونَ</x:v>
      </x:c>
      <x:c r="J167" s="60" t="str">
        <x:v>12:10:16؛ 12:61:6؛ 15:71:6؛ 18:23:5</x:v>
      </x:c>
      <x:c r="K167" s="60" t="str">
        <x:v>مرشح بنيوي؛ لا تُستنتج الدلالة من اللمة وحدها</x:v>
      </x:c>
      <x:c r="L167" s="60" t="str">
        <x:v>https://corpus.quran.com/qurandictionary.jsp?q=fEl</x:v>
      </x:c>
    </x:row>
    <x:row r="168">
      <x:c r="A168" s="60" t="str">
        <x:v>ف ع ل</x:v>
      </x:c>
      <x:c r="B168" s="60" t="str">
        <x:v>P1 — أصول تأسيسية عالية الأثر</x:v>
      </x:c>
      <x:c r="C168" s="60" t="str">
        <x:v>مَفْعُول</x:v>
      </x:c>
      <x:c r="D168" s="62" t="n">
        <x:v>7</x:v>
      </x:c>
      <x:c r="E168" s="60" t="str">
        <x:v>اسم</x:v>
      </x:c>
      <x:c r="F168" s="60" t="str">
        <x:v>N</x:v>
      </x:c>
      <x:c r="G168" s="60" t="str">
        <x:v>1</x:v>
      </x:c>
      <x:c r="H168" s="62" t="n">
        <x:v>3</x:v>
      </x:c>
      <x:c r="I168" s="60" t="str">
        <x:v>مَفْعُولًا، مَّفْعُولًا، لَمَفْعُولًا</x:v>
      </x:c>
      <x:c r="J168" s="60" t="str">
        <x:v>4:47:28؛ 8:42:21؛ 8:44:15؛ 17:5:17</x:v>
      </x:c>
      <x:c r="K168" s="60" t="str">
        <x:v>مرشح بنيوي؛ لا تُستنتج الدلالة من اللمة وحدها</x:v>
      </x:c>
      <x:c r="L168" s="60" t="str">
        <x:v>https://corpus.quran.com/qurandictionary.jsp?q=fEl</x:v>
      </x:c>
    </x:row>
    <x:row r="169">
      <x:c r="A169" s="60" t="str">
        <x:v>ف ع ل</x:v>
      </x:c>
      <x:c r="B169" s="60" t="str">
        <x:v>P1 — أصول تأسيسية عالية الأثر</x:v>
      </x:c>
      <x:c r="C169" s="60" t="str">
        <x:v>فَعّال</x:v>
      </x:c>
      <x:c r="D169" s="62" t="n">
        <x:v>2</x:v>
      </x:c>
      <x:c r="E169" s="60" t="str">
        <x:v>اسم</x:v>
      </x:c>
      <x:c r="F169" s="60" t="str">
        <x:v>N</x:v>
      </x:c>
      <x:c r="G169" s="60" t="str">
        <x:v>1</x:v>
      </x:c>
      <x:c r="H169" s="62" t="n">
        <x:v>1</x:v>
      </x:c>
      <x:c r="I169" s="60" t="str">
        <x:v>فَعَّالٌ</x:v>
      </x:c>
      <x:c r="J169" s="60" t="str">
        <x:v>11:107:13؛ 85:16:1</x:v>
      </x:c>
      <x:c r="K169" s="60" t="str">
        <x:v>مرشح بنيوي؛ لا تُستنتج الدلالة من اللمة وحدها</x:v>
      </x:c>
      <x:c r="L169" s="60" t="str">
        <x:v>https://corpus.quran.com/qurandictionary.jsp?q=fEl</x:v>
      </x:c>
    </x:row>
    <x:row r="170">
      <x:c r="A170" s="60" t="str">
        <x:v>ف ع ل</x:v>
      </x:c>
      <x:c r="B170" s="60" t="str">
        <x:v>P1 — أصول تأسيسية عالية الأثر</x:v>
      </x:c>
      <x:c r="C170" s="60" t="str">
        <x:v>فَعْلَت</x:v>
      </x:c>
      <x:c r="D170" s="62" t="n">
        <x:v>1</x:v>
      </x:c>
      <x:c r="E170" s="60" t="str">
        <x:v>اسم</x:v>
      </x:c>
      <x:c r="F170" s="60" t="str">
        <x:v>N</x:v>
      </x:c>
      <x:c r="G170" s="60" t="str">
        <x:v>1</x:v>
      </x:c>
      <x:c r="H170" s="62" t="n">
        <x:v>1</x:v>
      </x:c>
      <x:c r="I170" s="60" t="str">
        <x:v>فَعْلَتَكَ</x:v>
      </x:c>
      <x:c r="J170" s="60" t="str">
        <x:v>26:19:2</x:v>
      </x:c>
      <x:c r="K170" s="60" t="str">
        <x:v>مرشح بنيوي؛ لا تُستنتج الدلالة من اللمة وحدها</x:v>
      </x:c>
      <x:c r="L170" s="60" t="str">
        <x:v>https://corpus.quran.com/qurandictionary.jsp?q=fEl</x:v>
      </x:c>
    </x:row>
    <x:row r="171">
      <x:c r="A171" s="60" t="str">
        <x:v>ف ع ل</x:v>
      </x:c>
      <x:c r="B171" s="60" t="str">
        <x:v>P1 — أصول تأسيسية عالية الأثر</x:v>
      </x:c>
      <x:c r="C171" s="60" t="str">
        <x:v>فِعْل</x:v>
      </x:c>
      <x:c r="D171" s="62" t="n">
        <x:v>1</x:v>
      </x:c>
      <x:c r="E171" s="60" t="str">
        <x:v>اسم</x:v>
      </x:c>
      <x:c r="F171" s="60" t="str">
        <x:v>N</x:v>
      </x:c>
      <x:c r="G171" s="60" t="str">
        <x:v>1</x:v>
      </x:c>
      <x:c r="H171" s="62" t="n">
        <x:v>1</x:v>
      </x:c>
      <x:c r="I171" s="60" t="str">
        <x:v>فِعْلَ</x:v>
      </x:c>
      <x:c r="J171" s="60" t="str">
        <x:v>21:73:7</x:v>
      </x:c>
      <x:c r="K171" s="60" t="str">
        <x:v>مرشح بنيوي؛ لا تُستنتج الدلالة من اللمة وحدها</x:v>
      </x:c>
      <x:c r="L171" s="60" t="str">
        <x:v>https://corpus.quran.com/qurandictionary.jsp?q=fEl</x:v>
      </x:c>
    </x:row>
    <x:row r="172">
      <x:c r="A172" s="60" t="str">
        <x:v>ق ض ي (قضى)</x:v>
      </x:c>
      <x:c r="B172" s="60" t="str">
        <x:v>P1 — أصول تأسيسية عالية الأثر</x:v>
      </x:c>
      <x:c r="C172" s="60" t="str">
        <x:v>قَضَى</x:v>
      </x:c>
      <x:c r="D172" s="62" t="n">
        <x:v>59</x:v>
      </x:c>
      <x:c r="E172" s="60" t="str">
        <x:v>فعل</x:v>
      </x:c>
      <x:c r="F172" s="60" t="str">
        <x:v>V</x:v>
      </x:c>
      <x:c r="G172" s="60" t="str">
        <x:v>1</x:v>
      </x:c>
      <x:c r="H172" s="62" t="n">
        <x:v>33</x:v>
      </x:c>
      <x:c r="I172" s="60" t="str">
        <x:v>لَقُضِىَ، قُضِىَ، قَضَىٰٓ، وَقُضِىَ، يَقْضِى</x:v>
      </x:c>
      <x:c r="J172" s="60" t="str">
        <x:v>2:117:5؛ 2:200:2؛ 2:210:12؛ 3:47:17</x:v>
      </x:c>
      <x:c r="K172" s="60" t="str">
        <x:v>مرشح بنيوي؛ لا تُستنتج الدلالة من اللمة وحدها</x:v>
      </x:c>
      <x:c r="L172" s="60" t="str">
        <x:v>https://corpus.quran.com/qurandictionary.jsp?q=qDy</x:v>
      </x:c>
    </x:row>
    <x:row r="173">
      <x:c r="A173" s="60" t="str">
        <x:v>ق ض ي (قضى)</x:v>
      </x:c>
      <x:c r="B173" s="60" t="str">
        <x:v>P1 — أصول تأسيسية عالية الأثر</x:v>
      </x:c>
      <x:c r="C173" s="60" t="str">
        <x:v>مَقْضِيّ</x:v>
      </x:c>
      <x:c r="D173" s="62" t="n">
        <x:v>2</x:v>
      </x:c>
      <x:c r="E173" s="60" t="str">
        <x:v>اسم</x:v>
      </x:c>
      <x:c r="F173" s="60" t="str">
        <x:v>N</x:v>
      </x:c>
      <x:c r="G173" s="60" t="str">
        <x:v>1</x:v>
      </x:c>
      <x:c r="H173" s="62" t="n">
        <x:v>1</x:v>
      </x:c>
      <x:c r="I173" s="60" t="str">
        <x:v>مَّقْضِيًّا</x:v>
      </x:c>
      <x:c r="J173" s="60" t="str">
        <x:v>19:21:15؛ 19:71:9</x:v>
      </x:c>
      <x:c r="K173" s="60" t="str">
        <x:v>مرشح بنيوي؛ لا تُستنتج الدلالة من اللمة وحدها</x:v>
      </x:c>
      <x:c r="L173" s="60" t="str">
        <x:v>https://corpus.quran.com/qurandictionary.jsp?q=qDy</x:v>
      </x:c>
    </x:row>
    <x:row r="174">
      <x:c r="A174" s="60" t="str">
        <x:v>ق ض ي (قضى)</x:v>
      </x:c>
      <x:c r="B174" s="60" t="str">
        <x:v>P1 — أصول تأسيسية عالية الأثر</x:v>
      </x:c>
      <x:c r="C174" s="60" t="str">
        <x:v>قاض</x:v>
      </x:c>
      <x:c r="D174" s="62" t="n">
        <x:v>1</x:v>
      </x:c>
      <x:c r="E174" s="60" t="str">
        <x:v>اسم</x:v>
      </x:c>
      <x:c r="F174" s="60" t="str">
        <x:v>N</x:v>
      </x:c>
      <x:c r="G174" s="60" t="str">
        <x:v>1</x:v>
      </x:c>
      <x:c r="H174" s="62" t="n">
        <x:v>1</x:v>
      </x:c>
      <x:c r="I174" s="60" t="str">
        <x:v>قَاضٍ</x:v>
      </x:c>
      <x:c r="J174" s="60" t="str">
        <x:v>20:72:14</x:v>
      </x:c>
      <x:c r="K174" s="60" t="str">
        <x:v>مرشح بنيوي؛ لا تُستنتج الدلالة من اللمة وحدها</x:v>
      </x:c>
      <x:c r="L174" s="60" t="str">
        <x:v>https://corpus.quran.com/qurandictionary.jsp?q=qDy</x:v>
      </x:c>
    </x:row>
    <x:row r="175">
      <x:c r="A175" s="60" t="str">
        <x:v>ق ض ي (قضى)</x:v>
      </x:c>
      <x:c r="B175" s="60" t="str">
        <x:v>P1 — أصول تأسيسية عالية الأثر</x:v>
      </x:c>
      <x:c r="C175" s="60" t="str">
        <x:v>قاضِيَة</x:v>
      </x:c>
      <x:c r="D175" s="62" t="n">
        <x:v>1</x:v>
      </x:c>
      <x:c r="E175" s="60" t="str">
        <x:v>اسم</x:v>
      </x:c>
      <x:c r="F175" s="60" t="str">
        <x:v>N</x:v>
      </x:c>
      <x:c r="G175" s="60" t="str">
        <x:v>1</x:v>
      </x:c>
      <x:c r="H175" s="62" t="n">
        <x:v>1</x:v>
      </x:c>
      <x:c r="I175" s="60" t="str">
        <x:v>ٱلْقَاضِيَةَ</x:v>
      </x:c>
      <x:c r="J175" s="60" t="str">
        <x:v>69:27:3</x:v>
      </x:c>
      <x:c r="K175" s="60" t="str">
        <x:v>مرشح بنيوي؛ لا تُستنتج الدلالة من اللمة وحدها</x:v>
      </x:c>
      <x:c r="L175" s="60" t="str">
        <x:v>https://corpus.quran.com/qurandictionary.jsp?q=qDy</x:v>
      </x:c>
    </x:row>
    <x:row r="176">
      <x:c r="A176" s="60" t="str">
        <x:v>ر ح م</x:v>
      </x:c>
      <x:c r="B176" s="60" t="str">
        <x:v>P2 — شبكات دلالية مركزية</x:v>
      </x:c>
      <x:c r="C176" s="60" t="str">
        <x:v>رَحِيم</x:v>
      </x:c>
      <x:c r="D176" s="62" t="n">
        <x:v>116</x:v>
      </x:c>
      <x:c r="E176" s="60" t="str">
        <x:v>اسم</x:v>
      </x:c>
      <x:c r="F176" s="60" t="str">
        <x:v>N</x:v>
      </x:c>
      <x:c r="G176" s="60" t="str">
        <x:v>—</x:v>
      </x:c>
      <x:c r="H176" s="62" t="n">
        <x:v>10</x:v>
      </x:c>
      <x:c r="I176" s="60" t="str">
        <x:v>رَّحِيمٌ، ٱلرَّحِيمُ، رَّحِيمًا، ٱلرَّحِيمِ، رَحِيمًا</x:v>
      </x:c>
      <x:c r="J176" s="60" t="str">
        <x:v>1:1:4؛ 1:3:2؛ 2:37:11؛ 2:54:26</x:v>
      </x:c>
      <x:c r="K176" s="60" t="str">
        <x:v>مرشح بنيوي؛ لا تُستنتج الدلالة من اللمة وحدها</x:v>
      </x:c>
      <x:c r="L176" s="60" t="str">
        <x:v>https://corpus.quran.com/qurandictionary.jsp?q=rHm</x:v>
      </x:c>
    </x:row>
    <x:row r="177">
      <x:c r="A177" s="60" t="str">
        <x:v>ر ح م</x:v>
      </x:c>
      <x:c r="B177" s="60" t="str">
        <x:v>P2 — شبكات دلالية مركزية</x:v>
      </x:c>
      <x:c r="C177" s="60" t="str">
        <x:v>رَحْمَة</x:v>
      </x:c>
      <x:c r="D177" s="62" t="n">
        <x:v>114</x:v>
      </x:c>
      <x:c r="E177" s="60" t="str">
        <x:v>اسم</x:v>
      </x:c>
      <x:c r="F177" s="60" t="str">
        <x:v>N</x:v>
      </x:c>
      <x:c r="G177" s="60" t="str">
        <x:v>—</x:v>
      </x:c>
      <x:c r="H177" s="62" t="n">
        <x:v>34</x:v>
      </x:c>
      <x:c r="I177" s="60" t="str">
        <x:v>رَحْمَةً، وَرَحْمَةً، وَرَحْمَةٌ، وَرَحْمَتُهُۥ، بِرَحْمَةٍ</x:v>
      </x:c>
      <x:c r="J177" s="60" t="str">
        <x:v>2:64:10؛ 2:105:19؛ 2:157:6؛ 2:178:30</x:v>
      </x:c>
      <x:c r="K177" s="60" t="str">
        <x:v>مرشح بنيوي؛ لا تُستنتج الدلالة من اللمة وحدها</x:v>
      </x:c>
      <x:c r="L177" s="60" t="str">
        <x:v>https://corpus.quran.com/qurandictionary.jsp?q=rHm</x:v>
      </x:c>
    </x:row>
    <x:row r="178">
      <x:c r="A178" s="60" t="str">
        <x:v>ر ح م</x:v>
      </x:c>
      <x:c r="B178" s="60" t="str">
        <x:v>P2 — شبكات دلالية مركزية</x:v>
      </x:c>
      <x:c r="C178" s="60" t="str">
        <x:v>رَحْمٰن</x:v>
      </x:c>
      <x:c r="D178" s="62" t="n">
        <x:v>57</x:v>
      </x:c>
      <x:c r="E178" s="60" t="str">
        <x:v>اسم</x:v>
      </x:c>
      <x:c r="F178" s="60" t="str">
        <x:v>N</x:v>
      </x:c>
      <x:c r="G178" s="60" t="str">
        <x:v>—</x:v>
      </x:c>
      <x:c r="H178" s="62" t="n">
        <x:v>5</x:v>
      </x:c>
      <x:c r="I178" s="60" t="str">
        <x:v>ٱلرَّحْمَٰنِ، ٱلرَّحْمَٰنُ، لِلرَّحْمَٰنِ، بِٱلرَّحْمَٰنِ، ٱلرَّحْمَٰنَ</x:v>
      </x:c>
      <x:c r="J178" s="60" t="str">
        <x:v>1:1:3؛ 1:3:1؛ 2:163:8؛ 13:30:17</x:v>
      </x:c>
      <x:c r="K178" s="60" t="str">
        <x:v>مرشح بنيوي؛ لا تُستنتج الدلالة من اللمة وحدها</x:v>
      </x:c>
      <x:c r="L178" s="60" t="str">
        <x:v>https://corpus.quran.com/qurandictionary.jsp?q=rHm</x:v>
      </x:c>
    </x:row>
    <x:row r="179">
      <x:c r="A179" s="60" t="str">
        <x:v>ر ح م</x:v>
      </x:c>
      <x:c r="B179" s="60" t="str">
        <x:v>P2 — شبكات دلالية مركزية</x:v>
      </x:c>
      <x:c r="C179" s="60" t="str">
        <x:v>رَحِمَ</x:v>
      </x:c>
      <x:c r="D179" s="62" t="n">
        <x:v>28</x:v>
      </x:c>
      <x:c r="E179" s="60" t="str">
        <x:v>فعل</x:v>
      </x:c>
      <x:c r="F179" s="60" t="str">
        <x:v>V</x:v>
      </x:c>
      <x:c r="G179" s="60" t="str">
        <x:v>1</x:v>
      </x:c>
      <x:c r="H179" s="62" t="n">
        <x:v>18</x:v>
      </x:c>
      <x:c r="I179" s="60" t="str">
        <x:v>تُرْحَمُونَ، رَّحِمَ، وَٱرْحَمْنَا، وَٱرْحَمْنَآ، رَحِمَهُۥ</x:v>
      </x:c>
      <x:c r="J179" s="60" t="str">
        <x:v>2:286:43؛ 3:132:5؛ 6:16:6؛ 6:155:8</x:v>
      </x:c>
      <x:c r="K179" s="60" t="str">
        <x:v>مرشح بنيوي؛ لا تُستنتج الدلالة من اللمة وحدها</x:v>
      </x:c>
      <x:c r="L179" s="60" t="str">
        <x:v>https://corpus.quran.com/qurandictionary.jsp?q=rHm</x:v>
      </x:c>
    </x:row>
    <x:row r="180">
      <x:c r="A180" s="60" t="str">
        <x:v>ر ح م</x:v>
      </x:c>
      <x:c r="B180" s="60" t="str">
        <x:v>P2 — شبكات دلالية مركزية</x:v>
      </x:c>
      <x:c r="C180" s="60" t="str">
        <x:v>أَرْحام</x:v>
      </x:c>
      <x:c r="D180" s="62" t="n">
        <x:v>12</x:v>
      </x:c>
      <x:c r="E180" s="60" t="str">
        <x:v>اسم</x:v>
      </x:c>
      <x:c r="F180" s="60" t="str">
        <x:v>N</x:v>
      </x:c>
      <x:c r="G180" s="60" t="str">
        <x:v>—</x:v>
      </x:c>
      <x:c r="H180" s="62" t="n">
        <x:v>7</x:v>
      </x:c>
      <x:c r="I180" s="60" t="str">
        <x:v>ٱلْأَرْحَامِ، أَرْحَامُ، أَرْحَامِهِنَّ، وَٱلْأَرْحَامَ، ٱلْأَرْحَامُ</x:v>
      </x:c>
      <x:c r="J180" s="60" t="str">
        <x:v>2:228:15؛ 3:6:5؛ 4:1:23؛ 6:143:17</x:v>
      </x:c>
      <x:c r="K180" s="60" t="str">
        <x:v>مرشح بنيوي؛ لا تُستنتج الدلالة من اللمة وحدها</x:v>
      </x:c>
      <x:c r="L180" s="60" t="str">
        <x:v>https://corpus.quran.com/qurandictionary.jsp?q=rHm</x:v>
      </x:c>
    </x:row>
    <x:row r="181">
      <x:c r="A181" s="60" t="str">
        <x:v>ر ح م</x:v>
      </x:c>
      <x:c r="B181" s="60" t="str">
        <x:v>P2 — شبكات دلالية مركزية</x:v>
      </x:c>
      <x:c r="C181" s="60" t="str">
        <x:v>راحِم</x:v>
      </x:c>
      <x:c r="D181" s="62" t="n">
        <x:v>6</x:v>
      </x:c>
      <x:c r="E181" s="60" t="str">
        <x:v>اسم</x:v>
      </x:c>
      <x:c r="F181" s="60" t="str">
        <x:v>N</x:v>
      </x:c>
      <x:c r="G181" s="60" t="str">
        <x:v>1</x:v>
      </x:c>
      <x:c r="H181" s="62" t="n">
        <x:v>1</x:v>
      </x:c>
      <x:c r="I181" s="60" t="str">
        <x:v>ٱلرَّٰحِمِينَ</x:v>
      </x:c>
      <x:c r="J181" s="60" t="str">
        <x:v>7:151:11؛ 12:64:17؛ 12:92:11؛ 21:83:10</x:v>
      </x:c>
      <x:c r="K181" s="60" t="str">
        <x:v>مرشح بنيوي؛ لا تُستنتج الدلالة من اللمة وحدها</x:v>
      </x:c>
      <x:c r="L181" s="60" t="str">
        <x:v>https://corpus.quran.com/qurandictionary.jsp?q=rHm</x:v>
      </x:c>
    </x:row>
    <x:row r="182">
      <x:c r="A182" s="60" t="str">
        <x:v>ر ح م</x:v>
      </x:c>
      <x:c r="B182" s="60" t="str">
        <x:v>P2 — شبكات دلالية مركزية</x:v>
      </x:c>
      <x:c r="C182" s="60" t="str">
        <x:v>أَرْحَم</x:v>
      </x:c>
      <x:c r="D182" s="62" t="n">
        <x:v>4</x:v>
      </x:c>
      <x:c r="E182" s="60" t="str">
        <x:v>اسم</x:v>
      </x:c>
      <x:c r="F182" s="60" t="str">
        <x:v>N</x:v>
      </x:c>
      <x:c r="G182" s="60" t="str">
        <x:v>—</x:v>
      </x:c>
      <x:c r="H182" s="62" t="n">
        <x:v>1</x:v>
      </x:c>
      <x:c r="I182" s="60" t="str">
        <x:v>أَرْحَمُ</x:v>
      </x:c>
      <x:c r="J182" s="60" t="str">
        <x:v>7:151:10؛ 12:64:16؛ 12:92:10؛ 21:83:9</x:v>
      </x:c>
      <x:c r="K182" s="60" t="str">
        <x:v>مرشح بنيوي؛ لا تُستنتج الدلالة من اللمة وحدها</x:v>
      </x:c>
      <x:c r="L182" s="60" t="str">
        <x:v>https://corpus.quran.com/qurandictionary.jsp?q=rHm</x:v>
      </x:c>
    </x:row>
    <x:row r="183">
      <x:c r="A183" s="60" t="str">
        <x:v>ر ح م</x:v>
      </x:c>
      <x:c r="B183" s="60" t="str">
        <x:v>P2 — شبكات دلالية مركزية</x:v>
      </x:c>
      <x:c r="C183" s="60" t="str">
        <x:v>رُحْم</x:v>
      </x:c>
      <x:c r="D183" s="62" t="n">
        <x:v>1</x:v>
      </x:c>
      <x:c r="E183" s="60" t="str">
        <x:v>اسم</x:v>
      </x:c>
      <x:c r="F183" s="60" t="str">
        <x:v>N</x:v>
      </x:c>
      <x:c r="G183" s="60" t="str">
        <x:v>—</x:v>
      </x:c>
      <x:c r="H183" s="62" t="n">
        <x:v>1</x:v>
      </x:c>
      <x:c r="I183" s="60" t="str">
        <x:v>رُحْمًا</x:v>
      </x:c>
      <x:c r="J183" s="60" t="str">
        <x:v>18:81:9</x:v>
      </x:c>
      <x:c r="K183" s="60" t="str">
        <x:v>مرشح بنيوي؛ لا تُستنتج الدلالة من اللمة وحدها</x:v>
      </x:c>
      <x:c r="L183" s="60" t="str">
        <x:v>https://corpus.quran.com/qurandictionary.jsp?q=rHm</x:v>
      </x:c>
    </x:row>
    <x:row r="184">
      <x:c r="A184" s="60" t="str">
        <x:v>ر ح م</x:v>
      </x:c>
      <x:c r="B184" s="60" t="str">
        <x:v>P2 — شبكات دلالية مركزية</x:v>
      </x:c>
      <x:c r="C184" s="60" t="str">
        <x:v>مَرْحَمَة</x:v>
      </x:c>
      <x:c r="D184" s="62" t="n">
        <x:v>1</x:v>
      </x:c>
      <x:c r="E184" s="60" t="str">
        <x:v>اسم</x:v>
      </x:c>
      <x:c r="F184" s="60" t="str">
        <x:v>N</x:v>
      </x:c>
      <x:c r="G184" s="60" t="str">
        <x:v>—</x:v>
      </x:c>
      <x:c r="H184" s="62" t="n">
        <x:v>1</x:v>
      </x:c>
      <x:c r="I184" s="60" t="str">
        <x:v>بِٱلْمَرْحَمَةِ</x:v>
      </x:c>
      <x:c r="J184" s="60" t="str">
        <x:v>90:17:9</x:v>
      </x:c>
      <x:c r="K184" s="60" t="str">
        <x:v>مرشح بنيوي؛ لا تُستنتج الدلالة من اللمة وحدها</x:v>
      </x:c>
      <x:c r="L184" s="60" t="str">
        <x:v>https://corpus.quran.com/qurandictionary.jsp?q=rHm</x:v>
      </x:c>
    </x:row>
    <x:row r="185">
      <x:c r="A185" s="60" t="str">
        <x:v>ذ ك ر</x:v>
      </x:c>
      <x:c r="B185" s="60" t="str">
        <x:v>P2 — شبكات دلالية مركزية</x:v>
      </x:c>
      <x:c r="C185" s="60" t="str">
        <x:v>ذَكَرَ</x:v>
      </x:c>
      <x:c r="D185" s="62" t="n">
        <x:v>84</x:v>
      </x:c>
      <x:c r="E185" s="60" t="str">
        <x:v>فعل</x:v>
      </x:c>
      <x:c r="F185" s="60" t="str">
        <x:v>V</x:v>
      </x:c>
      <x:c r="G185" s="60" t="str">
        <x:v>1</x:v>
      </x:c>
      <x:c r="H185" s="62" t="n">
        <x:v>36</x:v>
      </x:c>
      <x:c r="I185" s="60" t="str">
        <x:v>وَٱذْكُرْ، ٱذْكُرُوا۟، وَٱذْكُرُوا۟، ذُكِرَ، فَٱذْكُرُوا۟</x:v>
      </x:c>
      <x:c r="J185" s="60" t="str">
        <x:v>2:40:3؛ 2:47:3؛ 2:63:11؛ 2:114:8</x:v>
      </x:c>
      <x:c r="K185" s="60" t="str">
        <x:v>مرشح بنيوي؛ لا تُستنتج الدلالة من اللمة وحدها</x:v>
      </x:c>
      <x:c r="L185" s="60" t="str">
        <x:v>https://corpus.quran.com/qurandictionary.jsp?q=%2Akr</x:v>
      </x:c>
    </x:row>
    <x:row r="186">
      <x:c r="A186" s="60" t="str">
        <x:v>ذ ك ر</x:v>
      </x:c>
      <x:c r="B186" s="60" t="str">
        <x:v>P2 — شبكات دلالية مركزية</x:v>
      </x:c>
      <x:c r="C186" s="60" t="str">
        <x:v>ذِكْر</x:v>
      </x:c>
      <x:c r="D186" s="62" t="n">
        <x:v>76</x:v>
      </x:c>
      <x:c r="E186" s="60" t="str">
        <x:v>اسم</x:v>
      </x:c>
      <x:c r="F186" s="60" t="str">
        <x:v>N</x:v>
      </x:c>
      <x:c r="G186" s="60" t="str">
        <x:v>1</x:v>
      </x:c>
      <x:c r="H186" s="62" t="n">
        <x:v>26</x:v>
      </x:c>
      <x:c r="I186" s="60" t="str">
        <x:v>ذِكْرًا، ذِكْرِ، ذِكْرٌ، ٱلذِّكْرَ، ٱلذِّكْرِ</x:v>
      </x:c>
      <x:c r="J186" s="60" t="str">
        <x:v>2:200:6؛ 2:200:10؛ 3:58:6؛ 5:91:14</x:v>
      </x:c>
      <x:c r="K186" s="60" t="str">
        <x:v>مرشح بنيوي؛ لا تُستنتج الدلالة من اللمة وحدها</x:v>
      </x:c>
      <x:c r="L186" s="60" t="str">
        <x:v>https://corpus.quran.com/qurandictionary.jsp?q=%2Akr</x:v>
      </x:c>
    </x:row>
    <x:row r="187">
      <x:c r="A187" s="60" t="str">
        <x:v>ذ ك ر</x:v>
      </x:c>
      <x:c r="B187" s="60" t="str">
        <x:v>P2 — شبكات دلالية مركزية</x:v>
      </x:c>
      <x:c r="C187" s="60" t="str">
        <x:v>تَذَكَّرَ</x:v>
      </x:c>
      <x:c r="D187" s="62" t="n">
        <x:v>51</x:v>
      </x:c>
      <x:c r="E187" s="60" t="str">
        <x:v>فعل</x:v>
      </x:c>
      <x:c r="F187" s="60" t="str">
        <x:v>V</x:v>
      </x:c>
      <x:c r="G187" s="60" t="str">
        <x:v>5</x:v>
      </x:c>
      <x:c r="H187" s="62" t="n">
        <x:v>13</x:v>
      </x:c>
      <x:c r="I187" s="60" t="str">
        <x:v>تَذَكَّرُونَ، يَتَذَكَّرُونَ، يَتَذَكَّرُ، يَذَّكَّرُونَ، يَذَّكَّرُ</x:v>
      </x:c>
      <x:c r="J187" s="60" t="str">
        <x:v>2:221:39؛ 2:269:13؛ 3:7:43؛ 6:80:25</x:v>
      </x:c>
      <x:c r="K187" s="60" t="str">
        <x:v>مرشح بنيوي؛ لا تُستنتج الدلالة من اللمة وحدها</x:v>
      </x:c>
      <x:c r="L187" s="60" t="str">
        <x:v>https://corpus.quran.com/qurandictionary.jsp?q=%2Akr</x:v>
      </x:c>
    </x:row>
    <x:row r="188">
      <x:c r="A188" s="60" t="str">
        <x:v>ذ ك ر</x:v>
      </x:c>
      <x:c r="B188" s="60" t="str">
        <x:v>P2 — شبكات دلالية مركزية</x:v>
      </x:c>
      <x:c r="C188" s="60" t="str">
        <x:v>ذِكْرَى</x:v>
      </x:c>
      <x:c r="D188" s="62" t="n">
        <x:v>23</x:v>
      </x:c>
      <x:c r="E188" s="60" t="str">
        <x:v>اسم</x:v>
      </x:c>
      <x:c r="F188" s="60" t="str">
        <x:v>N</x:v>
      </x:c>
      <x:c r="G188" s="60" t="str">
        <x:v>—</x:v>
      </x:c>
      <x:c r="H188" s="62" t="n">
        <x:v>8</x:v>
      </x:c>
      <x:c r="I188" s="60" t="str">
        <x:v>وَذِكْرَىٰ، ٱلذِّكْرَىٰ، ذِكْرَىٰ، لَذِكْرَىٰ، ذِكْرَى</x:v>
      </x:c>
      <x:c r="J188" s="60" t="str">
        <x:v>6:68:20؛ 6:69:10؛ 6:90:15؛ 7:2:12</x:v>
      </x:c>
      <x:c r="K188" s="60" t="str">
        <x:v>مرشح بنيوي؛ لا تُستنتج الدلالة من اللمة وحدها</x:v>
      </x:c>
      <x:c r="L188" s="60" t="str">
        <x:v>https://corpus.quran.com/qurandictionary.jsp?q=%2Akr</x:v>
      </x:c>
    </x:row>
    <x:row r="189">
      <x:c r="A189" s="60" t="str">
        <x:v>ذ ك ر</x:v>
      </x:c>
      <x:c r="B189" s="60" t="str">
        <x:v>P2 — شبكات دلالية مركزية</x:v>
      </x:c>
      <x:c r="C189" s="60" t="str">
        <x:v>ذَكَر</x:v>
      </x:c>
      <x:c r="D189" s="62" t="n">
        <x:v>18</x:v>
      </x:c>
      <x:c r="E189" s="60" t="str">
        <x:v>اسم</x:v>
      </x:c>
      <x:c r="F189" s="60" t="str">
        <x:v>N</x:v>
      </x:c>
      <x:c r="G189" s="60" t="str">
        <x:v>—</x:v>
      </x:c>
      <x:c r="H189" s="62" t="n">
        <x:v>10</x:v>
      </x:c>
      <x:c r="I189" s="60" t="str">
        <x:v>ذَكَرٍ، ٱلذَّكَرَ، ٱلذَّكَرُ، ءَآلذَّكَرَيْنِ، لِلذَّكَرِ</x:v>
      </x:c>
      <x:c r="J189" s="60" t="str">
        <x:v>3:36:13؛ 3:195:11؛ 4:11:5؛ 4:124:6</x:v>
      </x:c>
      <x:c r="K189" s="60" t="str">
        <x:v>مرشح بنيوي؛ لا تُستنتج الدلالة من اللمة وحدها</x:v>
      </x:c>
      <x:c r="L189" s="60" t="str">
        <x:v>https://corpus.quran.com/qurandictionary.jsp?q=%2Akr</x:v>
      </x:c>
    </x:row>
    <x:row r="190">
      <x:c r="A190" s="60" t="str">
        <x:v>ذ ك ر</x:v>
      </x:c>
      <x:c r="B190" s="60" t="str">
        <x:v>P2 — شبكات دلالية مركزية</x:v>
      </x:c>
      <x:c r="C190" s="60" t="str">
        <x:v>ذُكِّرَ</x:v>
      </x:c>
      <x:c r="D190" s="62" t="n">
        <x:v>18</x:v>
      </x:c>
      <x:c r="E190" s="60" t="str">
        <x:v>فعل</x:v>
      </x:c>
      <x:c r="F190" s="60" t="str">
        <x:v>V</x:v>
      </x:c>
      <x:c r="G190" s="60" t="str">
        <x:v>2</x:v>
      </x:c>
      <x:c r="H190" s="62" t="n">
        <x:v>7</x:v>
      </x:c>
      <x:c r="I190" s="60" t="str">
        <x:v>ذُكِّرُوا۟، فَذَكِّرْ، وَذَكِّرْ، ذُكِّرَ، فَتُذَكِّرَ</x:v>
      </x:c>
      <x:c r="J190" s="60" t="str">
        <x:v>2:282:69؛ 5:13:15؛ 5:14:11؛ 6:44:4</x:v>
      </x:c>
      <x:c r="K190" s="60" t="str">
        <x:v>مرشح بنيوي؛ لا تُستنتج الدلالة من اللمة وحدها</x:v>
      </x:c>
      <x:c r="L190" s="60" t="str">
        <x:v>https://corpus.quran.com/qurandictionary.jsp?q=%2Akr</x:v>
      </x:c>
    </x:row>
    <x:row r="191">
      <x:c r="A191" s="60" t="str">
        <x:v>ذ ك ر</x:v>
      </x:c>
      <x:c r="B191" s="60" t="str">
        <x:v>P2 — شبكات دلالية مركزية</x:v>
      </x:c>
      <x:c r="C191" s="60" t="str">
        <x:v>تَذْكِرَة</x:v>
      </x:c>
      <x:c r="D191" s="62" t="n">
        <x:v>9</x:v>
      </x:c>
      <x:c r="E191" s="60" t="str">
        <x:v>اسم</x:v>
      </x:c>
      <x:c r="F191" s="60" t="str">
        <x:v>N</x:v>
      </x:c>
      <x:c r="G191" s="60" t="str">
        <x:v>2</x:v>
      </x:c>
      <x:c r="H191" s="62" t="n">
        <x:v>4</x:v>
      </x:c>
      <x:c r="I191" s="60" t="str">
        <x:v>تَذْكِرَةٌ، تَذْكِرَةً، لَتَذْكِرَةٌ، ٱلتَّذْكِرَةِ</x:v>
      </x:c>
      <x:c r="J191" s="60" t="str">
        <x:v>20:3:2؛ 56:73:3؛ 69:12:3؛ 69:48:2</x:v>
      </x:c>
      <x:c r="K191" s="60" t="str">
        <x:v>مرشح بنيوي؛ لا تُستنتج الدلالة من اللمة وحدها</x:v>
      </x:c>
      <x:c r="L191" s="60" t="str">
        <x:v>https://corpus.quran.com/qurandictionary.jsp?q=%2Akr</x:v>
      </x:c>
    </x:row>
    <x:row r="192">
      <x:c r="A192" s="60" t="str">
        <x:v>ذ ك ر</x:v>
      </x:c>
      <x:c r="B192" s="60" t="str">
        <x:v>P2 — شبكات دلالية مركزية</x:v>
      </x:c>
      <x:c r="C192" s="60" t="str">
        <x:v>مُدَّكِر</x:v>
      </x:c>
      <x:c r="D192" s="62" t="n">
        <x:v>6</x:v>
      </x:c>
      <x:c r="E192" s="60" t="str">
        <x:v>اسم</x:v>
      </x:c>
      <x:c r="F192" s="60" t="str">
        <x:v>N</x:v>
      </x:c>
      <x:c r="G192" s="60" t="str">
        <x:v>8</x:v>
      </x:c>
      <x:c r="H192" s="62" t="n">
        <x:v>1</x:v>
      </x:c>
      <x:c r="I192" s="60" t="str">
        <x:v>مُّدَّكِرٍ</x:v>
      </x:c>
      <x:c r="J192" s="60" t="str">
        <x:v>54:15:6؛ 54:17:7؛ 54:22:7؛ 54:32:7</x:v>
      </x:c>
      <x:c r="K192" s="60" t="str">
        <x:v>مرشح بنيوي؛ لا تُستنتج الدلالة من اللمة وحدها</x:v>
      </x:c>
      <x:c r="L192" s="60" t="str">
        <x:v>https://corpus.quran.com/qurandictionary.jsp?q=%2Akr</x:v>
      </x:c>
    </x:row>
    <x:row r="193">
      <x:c r="A193" s="60" t="str">
        <x:v>ذ ك ر</x:v>
      </x:c>
      <x:c r="B193" s="60" t="str">
        <x:v>P2 — شبكات دلالية مركزية</x:v>
      </x:c>
      <x:c r="C193" s="60" t="str">
        <x:v>ذاكِر</x:v>
      </x:c>
      <x:c r="D193" s="62" t="n">
        <x:v>2</x:v>
      </x:c>
      <x:c r="E193" s="60" t="str">
        <x:v>اسم</x:v>
      </x:c>
      <x:c r="F193" s="60" t="str">
        <x:v>N</x:v>
      </x:c>
      <x:c r="G193" s="60" t="str">
        <x:v>1</x:v>
      </x:c>
      <x:c r="H193" s="62" t="n">
        <x:v>2</x:v>
      </x:c>
      <x:c r="I193" s="60" t="str">
        <x:v>لِلذَّٰكِرِينَ، وَٱلذَّٰكِرِينَ</x:v>
      </x:c>
      <x:c r="J193" s="60" t="str">
        <x:v>11:114:14؛ 33:35:21</x:v>
      </x:c>
      <x:c r="K193" s="60" t="str">
        <x:v>مرشح بنيوي؛ لا تُستنتج الدلالة من اللمة وحدها</x:v>
      </x:c>
      <x:c r="L193" s="60" t="str">
        <x:v>https://corpus.quran.com/qurandictionary.jsp?q=%2Akr</x:v>
      </x:c>
    </x:row>
    <x:row r="194">
      <x:c r="A194" s="60" t="str">
        <x:v>ذ ك ر</x:v>
      </x:c>
      <x:c r="B194" s="60" t="str">
        <x:v>P2 — شبكات دلالية مركزية</x:v>
      </x:c>
      <x:c r="C194" s="60" t="str">
        <x:v>ادَّكَرَ</x:v>
      </x:c>
      <x:c r="D194" s="62" t="n">
        <x:v>1</x:v>
      </x:c>
      <x:c r="E194" s="60" t="str">
        <x:v>فعل</x:v>
      </x:c>
      <x:c r="F194" s="60" t="str">
        <x:v>V</x:v>
      </x:c>
      <x:c r="G194" s="60" t="str">
        <x:v>8</x:v>
      </x:c>
      <x:c r="H194" s="62" t="n">
        <x:v>1</x:v>
      </x:c>
      <x:c r="I194" s="60" t="str">
        <x:v>وَٱدَّكَرَ</x:v>
      </x:c>
      <x:c r="J194" s="60" t="str">
        <x:v>12:45:5</x:v>
      </x:c>
      <x:c r="K194" s="60" t="str">
        <x:v>مرشح بنيوي؛ لا تُستنتج الدلالة من اللمة وحدها</x:v>
      </x:c>
      <x:c r="L194" s="60" t="str">
        <x:v>https://corpus.quran.com/qurandictionary.jsp?q=%2Akr</x:v>
      </x:c>
    </x:row>
    <x:row r="195">
      <x:c r="A195" s="60" t="str">
        <x:v>ذ ك ر</x:v>
      </x:c>
      <x:c r="B195" s="60" t="str">
        <x:v>P2 — شبكات دلالية مركزية</x:v>
      </x:c>
      <x:c r="C195" s="60" t="str">
        <x:v>تَذْكِير</x:v>
      </x:c>
      <x:c r="D195" s="62" t="n">
        <x:v>1</x:v>
      </x:c>
      <x:c r="E195" s="60" t="str">
        <x:v>اسم</x:v>
      </x:c>
      <x:c r="F195" s="60" t="str">
        <x:v>N</x:v>
      </x:c>
      <x:c r="G195" s="60" t="str">
        <x:v>—</x:v>
      </x:c>
      <x:c r="H195" s="62" t="n">
        <x:v>1</x:v>
      </x:c>
      <x:c r="I195" s="60" t="str">
        <x:v>وَتَذْكِيرِى</x:v>
      </x:c>
      <x:c r="J195" s="60" t="str">
        <x:v>10:71:14</x:v>
      </x:c>
      <x:c r="K195" s="60" t="str">
        <x:v>مرشح بنيوي؛ لا تُستنتج الدلالة من اللمة وحدها</x:v>
      </x:c>
      <x:c r="L195" s="60" t="str">
        <x:v>https://corpus.quran.com/qurandictionary.jsp?q=%2Akr</x:v>
      </x:c>
    </x:row>
    <x:row r="196">
      <x:c r="A196" s="60" t="str">
        <x:v>ذ ك ر</x:v>
      </x:c>
      <x:c r="B196" s="60" t="str">
        <x:v>P2 — شبكات دلالية مركزية</x:v>
      </x:c>
      <x:c r="C196" s="60" t="str">
        <x:v>ذاكِرَة</x:v>
      </x:c>
      <x:c r="D196" s="62" t="n">
        <x:v>1</x:v>
      </x:c>
      <x:c r="E196" s="60" t="str">
        <x:v>اسم</x:v>
      </x:c>
      <x:c r="F196" s="60" t="str">
        <x:v>N</x:v>
      </x:c>
      <x:c r="G196" s="60" t="str">
        <x:v>1</x:v>
      </x:c>
      <x:c r="H196" s="62" t="n">
        <x:v>1</x:v>
      </x:c>
      <x:c r="I196" s="60" t="str">
        <x:v>وَٱلذَّٰكِرَٰتِ</x:v>
      </x:c>
      <x:c r="J196" s="60" t="str">
        <x:v>33:35:24</x:v>
      </x:c>
      <x:c r="K196" s="60" t="str">
        <x:v>مرشح بنيوي؛ لا تُستنتج الدلالة من اللمة وحدها</x:v>
      </x:c>
      <x:c r="L196" s="60" t="str">
        <x:v>https://corpus.quran.com/qurandictionary.jsp?q=%2Akr</x:v>
      </x:c>
    </x:row>
    <x:row r="197">
      <x:c r="A197" s="60" t="str">
        <x:v>ذ ك ر</x:v>
      </x:c>
      <x:c r="B197" s="60" t="str">
        <x:v>P2 — شبكات دلالية مركزية</x:v>
      </x:c>
      <x:c r="C197" s="60" t="str">
        <x:v>مَذْكُور</x:v>
      </x:c>
      <x:c r="D197" s="62" t="n">
        <x:v>1</x:v>
      </x:c>
      <x:c r="E197" s="60" t="str">
        <x:v>اسم</x:v>
      </x:c>
      <x:c r="F197" s="60" t="str">
        <x:v>N</x:v>
      </x:c>
      <x:c r="G197" s="60" t="str">
        <x:v>1</x:v>
      </x:c>
      <x:c r="H197" s="62" t="n">
        <x:v>1</x:v>
      </x:c>
      <x:c r="I197" s="60" t="str">
        <x:v>مَّذْكُورًا</x:v>
      </x:c>
      <x:c r="J197" s="60" t="str">
        <x:v>76:1:11</x:v>
      </x:c>
      <x:c r="K197" s="60" t="str">
        <x:v>مرشح بنيوي؛ لا تُستنتج الدلالة من اللمة وحدها</x:v>
      </x:c>
      <x:c r="L197" s="60" t="str">
        <x:v>https://corpus.quran.com/qurandictionary.jsp?q=%2Akr</x:v>
      </x:c>
    </x:row>
    <x:row r="198">
      <x:c r="A198" s="60" t="str">
        <x:v>ذ ك ر</x:v>
      </x:c>
      <x:c r="B198" s="60" t="str">
        <x:v>P2 — شبكات دلالية مركزية</x:v>
      </x:c>
      <x:c r="C198" s="60" t="str">
        <x:v>مُذَكِّر</x:v>
      </x:c>
      <x:c r="D198" s="62" t="n">
        <x:v>1</x:v>
      </x:c>
      <x:c r="E198" s="60" t="str">
        <x:v>اسم</x:v>
      </x:c>
      <x:c r="F198" s="60" t="str">
        <x:v>N</x:v>
      </x:c>
      <x:c r="G198" s="60" t="str">
        <x:v>2</x:v>
      </x:c>
      <x:c r="H198" s="62" t="n">
        <x:v>1</x:v>
      </x:c>
      <x:c r="I198" s="60" t="str">
        <x:v>مُذَكِّرٌ</x:v>
      </x:c>
      <x:c r="J198" s="60" t="str">
        <x:v>88:21:4</x:v>
      </x:c>
      <x:c r="K198" s="60" t="str">
        <x:v>مرشح بنيوي؛ لا تُستنتج الدلالة من اللمة وحدها</x:v>
      </x:c>
      <x:c r="L198" s="60" t="str">
        <x:v>https://corpus.quran.com/qurandictionary.jsp?q=%2Akr</x:v>
      </x:c>
    </x:row>
    <x:row r="199">
      <x:c r="A199" s="60" t="str">
        <x:v>ك ذ ب</x:v>
      </x:c>
      <x:c r="B199" s="60" t="str">
        <x:v>P2 — شبكات دلالية مركزية</x:v>
      </x:c>
      <x:c r="C199" s="60" t="str">
        <x:v>كَذَّبَ</x:v>
      </x:c>
      <x:c r="D199" s="62" t="n">
        <x:v>176</x:v>
      </x:c>
      <x:c r="E199" s="60" t="str">
        <x:v>فعل</x:v>
      </x:c>
      <x:c r="F199" s="60" t="str">
        <x:v>V</x:v>
      </x:c>
      <x:c r="G199" s="60" t="str">
        <x:v>2</x:v>
      </x:c>
      <x:c r="H199" s="62" t="n">
        <x:v>33</x:v>
      </x:c>
      <x:c r="I199" s="60" t="str">
        <x:v>كَذَّبُوا۟، تُكَذِّبَانِ، كَذَّبَ، كَذَّبَتْ، وَكَذَّبُوا۟</x:v>
      </x:c>
      <x:c r="J199" s="60" t="str">
        <x:v>2:39:3؛ 2:87:26؛ 3:11:7؛ 3:184:2</x:v>
      </x:c>
      <x:c r="K199" s="60" t="str">
        <x:v>مرشح بنيوي؛ لا تُستنتج الدلالة من اللمة وحدها</x:v>
      </x:c>
      <x:c r="L199" s="60" t="str">
        <x:v>https://corpus.quran.com/qurandictionary.jsp?q=k%2Ab</x:v>
      </x:c>
    </x:row>
    <x:row r="200">
      <x:c r="A200" s="60" t="str">
        <x:v>ك ذ ب</x:v>
      </x:c>
      <x:c r="B200" s="60" t="str">
        <x:v>P2 — شبكات دلالية مركزية</x:v>
      </x:c>
      <x:c r="C200" s="60" t="str">
        <x:v>كَذِب</x:v>
      </x:c>
      <x:c r="D200" s="62" t="n">
        <x:v>33</x:v>
      </x:c>
      <x:c r="E200" s="60" t="str">
        <x:v>اسم</x:v>
      </x:c>
      <x:c r="F200" s="60" t="str">
        <x:v>N</x:v>
      </x:c>
      <x:c r="G200" s="60" t="str">
        <x:v>—</x:v>
      </x:c>
      <x:c r="H200" s="62" t="n">
        <x:v>6</x:v>
      </x:c>
      <x:c r="I200" s="60" t="str">
        <x:v>كَذِبًا، ٱلْكَذِبَ، لِلْكَذِبِ، كَذِبٍ، كَذِبُهُۥ</x:v>
      </x:c>
      <x:c r="J200" s="60" t="str">
        <x:v>3:75:34؛ 3:78:27؛ 3:94:5؛ 4:50:6</x:v>
      </x:c>
      <x:c r="K200" s="60" t="str">
        <x:v>مرشح بنيوي؛ لا تُستنتج الدلالة من اللمة وحدها</x:v>
      </x:c>
      <x:c r="L200" s="60" t="str">
        <x:v>https://corpus.quran.com/qurandictionary.jsp?q=k%2Ab</x:v>
      </x:c>
    </x:row>
    <x:row r="201">
      <x:c r="A201" s="60" t="str">
        <x:v>ك ذ ب</x:v>
      </x:c>
      <x:c r="B201" s="60" t="str">
        <x:v>P2 — شبكات دلالية مركزية</x:v>
      </x:c>
      <x:c r="C201" s="60" t="str">
        <x:v>كاذِب</x:v>
      </x:c>
      <x:c r="D201" s="62" t="n">
        <x:v>32</x:v>
      </x:c>
      <x:c r="E201" s="60" t="str">
        <x:v>اسم</x:v>
      </x:c>
      <x:c r="F201" s="60" t="str">
        <x:v>N</x:v>
      </x:c>
      <x:c r="G201" s="60" t="str">
        <x:v>1</x:v>
      </x:c>
      <x:c r="H201" s="62" t="n">
        <x:v>9</x:v>
      </x:c>
      <x:c r="I201" s="60" t="str">
        <x:v>ٱلْكَٰذِبِينَ، لَكَٰذِبُونَ، كَٰذِبِينَ، ٱلْكَٰذِبُونَ، كَٰذِبٌ</x:v>
      </x:c>
      <x:c r="J201" s="60" t="str">
        <x:v>3:61:25؛ 6:28:16؛ 7:66:14؛ 9:42:23</x:v>
      </x:c>
      <x:c r="K201" s="60" t="str">
        <x:v>مرشح بنيوي؛ لا تُستنتج الدلالة من اللمة وحدها</x:v>
      </x:c>
      <x:c r="L201" s="60" t="str">
        <x:v>https://corpus.quran.com/qurandictionary.jsp?q=k%2Ab</x:v>
      </x:c>
    </x:row>
    <x:row r="202">
      <x:c r="A202" s="60" t="str">
        <x:v>ك ذ ب</x:v>
      </x:c>
      <x:c r="B202" s="60" t="str">
        <x:v>P2 — شبكات دلالية مركزية</x:v>
      </x:c>
      <x:c r="C202" s="60" t="str">
        <x:v>مُكَذِّب</x:v>
      </x:c>
      <x:c r="D202" s="62" t="n">
        <x:v>21</x:v>
      </x:c>
      <x:c r="E202" s="60" t="str">
        <x:v>اسم</x:v>
      </x:c>
      <x:c r="F202" s="60" t="str">
        <x:v>N</x:v>
      </x:c>
      <x:c r="G202" s="60" t="str">
        <x:v>2</x:v>
      </x:c>
      <x:c r="H202" s="62" t="n">
        <x:v>5</x:v>
      </x:c>
      <x:c r="I202" s="60" t="str">
        <x:v>لِّلْمُكَذِّبِينَ، ٱلْمُكَذِّبِينَ، ٱلْمُكَذِّبُونَ، مُّكَذِّبِينَ، وَٱلْمُكَذِّبِينَ</x:v>
      </x:c>
      <x:c r="J202" s="60" t="str">
        <x:v>3:137:13؛ 6:11:10؛ 16:36:28؛ 43:25:7</x:v>
      </x:c>
      <x:c r="K202" s="60" t="str">
        <x:v>مرشح بنيوي؛ لا تُستنتج الدلالة من اللمة وحدها</x:v>
      </x:c>
      <x:c r="L202" s="60" t="str">
        <x:v>https://corpus.quran.com/qurandictionary.jsp?q=k%2Ab</x:v>
      </x:c>
    </x:row>
    <x:row r="203">
      <x:c r="A203" s="60" t="str">
        <x:v>ك ذ ب</x:v>
      </x:c>
      <x:c r="B203" s="60" t="str">
        <x:v>P2 — شبكات دلالية مركزية</x:v>
      </x:c>
      <x:c r="C203" s="60" t="str">
        <x:v>كَذَبَ</x:v>
      </x:c>
      <x:c r="D203" s="62" t="n">
        <x:v>11</x:v>
      </x:c>
      <x:c r="E203" s="60" t="str">
        <x:v>فعل</x:v>
      </x:c>
      <x:c r="F203" s="60" t="str">
        <x:v>V</x:v>
      </x:c>
      <x:c r="G203" s="60" t="str">
        <x:v>1</x:v>
      </x:c>
      <x:c r="H203" s="62" t="n">
        <x:v>6</x:v>
      </x:c>
      <x:c r="I203" s="60" t="str">
        <x:v>كَذَبُوا۟، يَكْذِبُونَ، كَذَبَ، فَكَذَبَتْ، كُذِبُوا۟</x:v>
      </x:c>
      <x:c r="J203" s="60" t="str">
        <x:v>2:10:12؛ 6:24:3؛ 9:77:15؛ 9:90:9</x:v>
      </x:c>
      <x:c r="K203" s="60" t="str">
        <x:v>مرشح بنيوي؛ لا تُستنتج الدلالة من اللمة وحدها</x:v>
      </x:c>
      <x:c r="L203" s="60" t="str">
        <x:v>https://corpus.quran.com/qurandictionary.jsp?q=k%2Ab</x:v>
      </x:c>
    </x:row>
    <x:row r="204">
      <x:c r="A204" s="60" t="str">
        <x:v>ك ذ ب</x:v>
      </x:c>
      <x:c r="B204" s="60" t="str">
        <x:v>P2 — شبكات دلالية مركزية</x:v>
      </x:c>
      <x:c r="C204" s="60" t="str">
        <x:v>كَذّاب</x:v>
      </x:c>
      <x:c r="D204" s="62" t="n">
        <x:v>5</x:v>
      </x:c>
      <x:c r="E204" s="60" t="str">
        <x:v>اسم</x:v>
      </x:c>
      <x:c r="F204" s="60" t="str">
        <x:v>N</x:v>
      </x:c>
      <x:c r="G204" s="60" t="str">
        <x:v>—</x:v>
      </x:c>
      <x:c r="H204" s="62" t="n">
        <x:v>2</x:v>
      </x:c>
      <x:c r="I204" s="60" t="str">
        <x:v>كَذَّابٌ، ٱلْكَذَّابُ</x:v>
      </x:c>
      <x:c r="J204" s="60" t="str">
        <x:v>38:4:10؛ 40:24:7؛ 40:28:39؛ 54:25:8</x:v>
      </x:c>
      <x:c r="K204" s="60" t="str">
        <x:v>مرشح بنيوي؛ لا تُستنتج الدلالة من اللمة وحدها</x:v>
      </x:c>
      <x:c r="L204" s="60" t="str">
        <x:v>https://corpus.quran.com/qurandictionary.jsp?q=k%2Ab</x:v>
      </x:c>
    </x:row>
    <x:row r="205">
      <x:c r="A205" s="60" t="str">
        <x:v>ك ذ ب</x:v>
      </x:c>
      <x:c r="B205" s="60" t="str">
        <x:v>P2 — شبكات دلالية مركزية</x:v>
      </x:c>
      <x:c r="C205" s="60" t="str">
        <x:v>كِذّاب</x:v>
      </x:c>
      <x:c r="D205" s="62" t="n">
        <x:v>2</x:v>
      </x:c>
      <x:c r="E205" s="60" t="str">
        <x:v>اسم</x:v>
      </x:c>
      <x:c r="F205" s="60" t="str">
        <x:v>N</x:v>
      </x:c>
      <x:c r="G205" s="60" t="str">
        <x:v>2</x:v>
      </x:c>
      <x:c r="H205" s="62" t="n">
        <x:v>2</x:v>
      </x:c>
      <x:c r="I205" s="60" t="str">
        <x:v>كِذَّابًا، كِذَّٰبًا</x:v>
      </x:c>
      <x:c r="J205" s="60" t="str">
        <x:v>78:28:3؛ 78:35:6</x:v>
      </x:c>
      <x:c r="K205" s="60" t="str">
        <x:v>مرشح بنيوي؛ لا تُستنتج الدلالة من اللمة وحدها</x:v>
      </x:c>
      <x:c r="L205" s="60" t="str">
        <x:v>https://corpus.quran.com/qurandictionary.jsp?q=k%2Ab</x:v>
      </x:c>
    </x:row>
    <x:row r="206">
      <x:c r="A206" s="60" t="str">
        <x:v>ك ذ ب</x:v>
      </x:c>
      <x:c r="B206" s="60" t="str">
        <x:v>P2 — شبكات دلالية مركزية</x:v>
      </x:c>
      <x:c r="C206" s="60" t="str">
        <x:v>تَكْذِيب</x:v>
      </x:c>
      <x:c r="D206" s="62" t="n">
        <x:v>1</x:v>
      </x:c>
      <x:c r="E206" s="60" t="str">
        <x:v>اسم</x:v>
      </x:c>
      <x:c r="F206" s="60" t="str">
        <x:v>N</x:v>
      </x:c>
      <x:c r="G206" s="60" t="str">
        <x:v>2</x:v>
      </x:c>
      <x:c r="H206" s="62" t="n">
        <x:v>1</x:v>
      </x:c>
      <x:c r="I206" s="60" t="str">
        <x:v>تَكْذِيبٍ</x:v>
      </x:c>
      <x:c r="J206" s="60" t="str">
        <x:v>85:19:5</x:v>
      </x:c>
      <x:c r="K206" s="60" t="str">
        <x:v>مرشح بنيوي؛ لا تُستنتج الدلالة من اللمة وحدها</x:v>
      </x:c>
      <x:c r="L206" s="60" t="str">
        <x:v>https://corpus.quran.com/qurandictionary.jsp?q=k%2Ab</x:v>
      </x:c>
    </x:row>
    <x:row r="207">
      <x:c r="A207" s="60" t="str">
        <x:v>ك ذ ب</x:v>
      </x:c>
      <x:c r="B207" s="60" t="str">
        <x:v>P2 — شبكات دلالية مركزية</x:v>
      </x:c>
      <x:c r="C207" s="60" t="str">
        <x:v>مَكْذُوب</x:v>
      </x:c>
      <x:c r="D207" s="62" t="n">
        <x:v>1</x:v>
      </x:c>
      <x:c r="E207" s="60" t="str">
        <x:v>اسم</x:v>
      </x:c>
      <x:c r="F207" s="60" t="str">
        <x:v>N</x:v>
      </x:c>
      <x:c r="G207" s="60" t="str">
        <x:v>1</x:v>
      </x:c>
      <x:c r="H207" s="62" t="n">
        <x:v>1</x:v>
      </x:c>
      <x:c r="I207" s="60" t="str">
        <x:v>مَكْذُوبٍ</x:v>
      </x:c>
      <x:c r="J207" s="60" t="str">
        <x:v>11:65:11</x:v>
      </x:c>
      <x:c r="K207" s="60" t="str">
        <x:v>مرشح بنيوي؛ لا تُستنتج الدلالة من اللمة وحدها</x:v>
      </x:c>
      <x:c r="L207" s="60" t="str">
        <x:v>https://corpus.quran.com/qurandictionary.jsp?q=k%2Ab</x:v>
      </x:c>
    </x:row>
    <x:row r="208">
      <x:c r="A208" s="60" t="str">
        <x:v>ن ف س</x:v>
      </x:c>
      <x:c r="B208" s="60" t="str">
        <x:v>P2 — شبكات دلالية مركزية</x:v>
      </x:c>
      <x:c r="C208" s="60" t="str">
        <x:v>نَفْس</x:v>
      </x:c>
      <x:c r="D208" s="62" t="n">
        <x:v>295</x:v>
      </x:c>
      <x:c r="E208" s="60" t="str">
        <x:v>اسم</x:v>
      </x:c>
      <x:c r="F208" s="60" t="str">
        <x:v>N</x:v>
      </x:c>
      <x:c r="G208" s="60" t="str">
        <x:v>—</x:v>
      </x:c>
      <x:c r="H208" s="62" t="n">
        <x:v>74</x:v>
      </x:c>
      <x:c r="I208" s="60" t="str">
        <x:v>أَنفُسَهُمْ، أَنفُسِهِمْ، نَفْسٍ، أَنفُسَكُمْ، أَنفُسِكُمْ</x:v>
      </x:c>
      <x:c r="J208" s="60" t="str">
        <x:v>2:9:8؛ 2:44:5؛ 2:48:5؛ 2:48:7</x:v>
      </x:c>
      <x:c r="K208" s="60" t="str">
        <x:v>مرشح بنيوي؛ لا تُستنتج الدلالة من اللمة وحدها</x:v>
      </x:c>
      <x:c r="L208" s="60" t="str">
        <x:v>https://corpus.quran.com/qurandictionary.jsp?q=nfs</x:v>
      </x:c>
    </x:row>
    <x:row r="209">
      <x:c r="A209" s="60" t="str">
        <x:v>ن ف س</x:v>
      </x:c>
      <x:c r="B209" s="60" t="str">
        <x:v>P2 — شبكات دلالية مركزية</x:v>
      </x:c>
      <x:c r="C209" s="60" t="str">
        <x:v>تَنَفَّسَ</x:v>
      </x:c>
      <x:c r="D209" s="62" t="n">
        <x:v>1</x:v>
      </x:c>
      <x:c r="E209" s="60" t="str">
        <x:v>فعل</x:v>
      </x:c>
      <x:c r="F209" s="60" t="str">
        <x:v>V</x:v>
      </x:c>
      <x:c r="G209" s="60" t="str">
        <x:v>5</x:v>
      </x:c>
      <x:c r="H209" s="62" t="n">
        <x:v>1</x:v>
      </x:c>
      <x:c r="I209" s="60" t="str">
        <x:v>تَنَفَّسَ</x:v>
      </x:c>
      <x:c r="J209" s="60" t="str">
        <x:v>81:18:3</x:v>
      </x:c>
      <x:c r="K209" s="60" t="str">
        <x:v>مرشح بنيوي؛ لا تُستنتج الدلالة من اللمة وحدها</x:v>
      </x:c>
      <x:c r="L209" s="60" t="str">
        <x:v>https://corpus.quran.com/qurandictionary.jsp?q=nfs</x:v>
      </x:c>
    </x:row>
    <x:row r="210">
      <x:c r="A210" s="60" t="str">
        <x:v>ن ف س</x:v>
      </x:c>
      <x:c r="B210" s="60" t="str">
        <x:v>P2 — شبكات دلالية مركزية</x:v>
      </x:c>
      <x:c r="C210" s="60" t="str">
        <x:v>مُتَنافِس</x:v>
      </x:c>
      <x:c r="D210" s="62" t="n">
        <x:v>1</x:v>
      </x:c>
      <x:c r="E210" s="60" t="str">
        <x:v>اسم</x:v>
      </x:c>
      <x:c r="F210" s="60" t="str">
        <x:v>N</x:v>
      </x:c>
      <x:c r="G210" s="60" t="str">
        <x:v>6</x:v>
      </x:c>
      <x:c r="H210" s="62" t="n">
        <x:v>1</x:v>
      </x:c>
      <x:c r="I210" s="60" t="str">
        <x:v>ٱلْمُتَنَٰفِسُونَ</x:v>
      </x:c>
      <x:c r="J210" s="60" t="str">
        <x:v>83:26:6</x:v>
      </x:c>
      <x:c r="K210" s="60" t="str">
        <x:v>مرشح بنيوي؛ لا تُستنتج الدلالة من اللمة وحدها</x:v>
      </x:c>
      <x:c r="L210" s="60" t="str">
        <x:v>https://corpus.quran.com/qurandictionary.jsp?q=nfs</x:v>
      </x:c>
    </x:row>
    <x:row r="211">
      <x:c r="A211" s="60" t="str">
        <x:v>ن ف س</x:v>
      </x:c>
      <x:c r="B211" s="60" t="str">
        <x:v>P2 — شبكات دلالية مركزية</x:v>
      </x:c>
      <x:c r="C211" s="60" t="str">
        <x:v>يَتَنافَسِ</x:v>
      </x:c>
      <x:c r="D211" s="62" t="n">
        <x:v>1</x:v>
      </x:c>
      <x:c r="E211" s="60" t="str">
        <x:v>فعل</x:v>
      </x:c>
      <x:c r="F211" s="60" t="str">
        <x:v>V</x:v>
      </x:c>
      <x:c r="G211" s="60" t="str">
        <x:v>6</x:v>
      </x:c>
      <x:c r="H211" s="62" t="n">
        <x:v>1</x:v>
      </x:c>
      <x:c r="I211" s="60" t="str">
        <x:v>فَلْيَتَنَافَسِ</x:v>
      </x:c>
      <x:c r="J211" s="60" t="str">
        <x:v>83:26:5</x:v>
      </x:c>
      <x:c r="K211" s="60" t="str">
        <x:v>مرشح بنيوي؛ لا تُستنتج الدلالة من اللمة وحدها</x:v>
      </x:c>
      <x:c r="L211" s="60" t="str">
        <x:v>https://corpus.quran.com/qurandictionary.jsp?q=nfs</x:v>
      </x:c>
    </x:row>
    <x:row r="212">
      <x:c r="A212" s="60" t="str">
        <x:v>ح ي ي</x:v>
      </x:c>
      <x:c r="B212" s="60" t="str">
        <x:v>P2 — شبكات دلالية مركزية</x:v>
      </x:c>
      <x:c r="C212" s="60" t="str">
        <x:v>حَياة</x:v>
      </x:c>
      <x:c r="D212" s="62" t="n">
        <x:v>76</x:v>
      </x:c>
      <x:c r="E212" s="60" t="str">
        <x:v>اسم</x:v>
      </x:c>
      <x:c r="F212" s="60" t="str">
        <x:v>N</x:v>
      </x:c>
      <x:c r="G212" s="60" t="str">
        <x:v>—</x:v>
      </x:c>
      <x:c r="H212" s="62" t="n">
        <x:v>11</x:v>
      </x:c>
      <x:c r="I212" s="60" t="str">
        <x:v>ٱلْحَيَوٰةِ، ٱلْحَيَوٰةُ، ٱلْحَيَوٰةَ، حَيَاتُنَا، بِٱلْحَيَوٰةِ</x:v>
      </x:c>
      <x:c r="J212" s="60" t="str">
        <x:v>2:85:37؛ 2:86:4؛ 2:96:5؛ 2:179:4</x:v>
      </x:c>
      <x:c r="K212" s="60" t="str">
        <x:v>مرشح بنيوي؛ لا تُستنتج الدلالة من اللمة وحدها</x:v>
      </x:c>
      <x:c r="L212" s="60" t="str">
        <x:v>https://corpus.quran.com/qurandictionary.jsp?q=Hyy</x:v>
      </x:c>
    </x:row>
    <x:row r="213">
      <x:c r="A213" s="60" t="str">
        <x:v>ح ي ي</x:v>
      </x:c>
      <x:c r="B213" s="60" t="str">
        <x:v>P2 — شبكات دلالية مركزية</x:v>
      </x:c>
      <x:c r="C213" s="60" t="str">
        <x:v>أَحْيا</x:v>
      </x:c>
      <x:c r="D213" s="62" t="n">
        <x:v>51</x:v>
      </x:c>
      <x:c r="E213" s="60" t="str">
        <x:v>فعل</x:v>
      </x:c>
      <x:c r="F213" s="60" t="str">
        <x:v>V</x:v>
      </x:c>
      <x:c r="G213" s="60" t="str">
        <x:v>4</x:v>
      </x:c>
      <x:c r="H213" s="62" t="n">
        <x:v>27</x:v>
      </x:c>
      <x:c r="I213" s="60" t="str">
        <x:v>يُحْىِۦ، يُحْىِ، يُحْيِيكُمْ، فَأَحْيَا، أَحْيَاهَا</x:v>
      </x:c>
      <x:c r="J213" s="60" t="str">
        <x:v>2:28:6؛ 2:28:10؛ 2:73:5؛ 2:164:24</x:v>
      </x:c>
      <x:c r="K213" s="60" t="str">
        <x:v>مرشح بنيوي؛ لا تُستنتج الدلالة من اللمة وحدها</x:v>
      </x:c>
      <x:c r="L213" s="60" t="str">
        <x:v>https://corpus.quran.com/qurandictionary.jsp?q=Hyy</x:v>
      </x:c>
    </x:row>
    <x:row r="214">
      <x:c r="A214" s="60" t="str">
        <x:v>ح ي ي</x:v>
      </x:c>
      <x:c r="B214" s="60" t="str">
        <x:v>P2 — شبكات دلالية مركزية</x:v>
      </x:c>
      <x:c r="C214" s="60" t="str">
        <x:v>حَيّ</x:v>
      </x:c>
      <x:c r="D214" s="62" t="n">
        <x:v>24</x:v>
      </x:c>
      <x:c r="E214" s="60" t="str">
        <x:v>اسم</x:v>
      </x:c>
      <x:c r="F214" s="60" t="str">
        <x:v>N</x:v>
      </x:c>
      <x:c r="G214" s="60" t="str">
        <x:v>—</x:v>
      </x:c>
      <x:c r="H214" s="62" t="n">
        <x:v>10</x:v>
      </x:c>
      <x:c r="I214" s="60" t="str">
        <x:v>ٱلْحَىِّ، حَيًّا، ٱلْحَىَّ، ٱلْحَىُّ، أَحْيَآءٌ</x:v>
      </x:c>
      <x:c r="J214" s="60" t="str">
        <x:v>2:154:10؛ 2:255:6؛ 3:2:6؛ 3:27:10</x:v>
      </x:c>
      <x:c r="K214" s="60" t="str">
        <x:v>مرشح بنيوي؛ لا تُستنتج الدلالة من اللمة وحدها</x:v>
      </x:c>
      <x:c r="L214" s="60" t="str">
        <x:v>https://corpus.quran.com/qurandictionary.jsp?q=Hyy</x:v>
      </x:c>
    </x:row>
    <x:row r="215">
      <x:c r="A215" s="60" t="str">
        <x:v>ح ي ي</x:v>
      </x:c>
      <x:c r="B215" s="60" t="str">
        <x:v>P2 — شبكات دلالية مركزية</x:v>
      </x:c>
      <x:c r="C215" s="60" t="str">
        <x:v>يَسْتَحْىِۦ</x:v>
      </x:c>
      <x:c r="D215" s="62" t="n">
        <x:v>9</x:v>
      </x:c>
      <x:c r="E215" s="60" t="str">
        <x:v>فعل</x:v>
      </x:c>
      <x:c r="F215" s="60" t="str">
        <x:v>V</x:v>
      </x:c>
      <x:c r="G215" s="60" t="str">
        <x:v>10</x:v>
      </x:c>
      <x:c r="H215" s="62" t="n">
        <x:v>7</x:v>
      </x:c>
      <x:c r="I215" s="60" t="str">
        <x:v>وَيَسْتَحْيُونَ، يَسْتَحْىِۦٓ، وَنَسْتَحْىِۦ، وَيَسْتَحْىِۦ، فَيَسْتَحْىِۦ</x:v>
      </x:c>
      <x:c r="J215" s="60" t="str">
        <x:v>2:26:4؛ 2:49:11؛ 7:127:17؛ 7:141:11</x:v>
      </x:c>
      <x:c r="K215" s="60" t="str">
        <x:v>مرشح بنيوي؛ لا تُستنتج الدلالة من اللمة وحدها</x:v>
      </x:c>
      <x:c r="L215" s="60" t="str">
        <x:v>https://corpus.quran.com/qurandictionary.jsp?q=Hyy</x:v>
      </x:c>
    </x:row>
    <x:row r="216">
      <x:c r="A216" s="60" t="str">
        <x:v>ح ي ي</x:v>
      </x:c>
      <x:c r="B216" s="60" t="str">
        <x:v>P2 — شبكات دلالية مركزية</x:v>
      </x:c>
      <x:c r="C216" s="60" t="str">
        <x:v>حَىَّ</x:v>
      </x:c>
      <x:c r="D216" s="62" t="n">
        <x:v>7</x:v>
      </x:c>
      <x:c r="E216" s="60" t="str">
        <x:v>فعل</x:v>
      </x:c>
      <x:c r="F216" s="60" t="str">
        <x:v>V</x:v>
      </x:c>
      <x:c r="G216" s="60" t="str">
        <x:v>1</x:v>
      </x:c>
      <x:c r="H216" s="62" t="n">
        <x:v>5</x:v>
      </x:c>
      <x:c r="I216" s="60" t="str">
        <x:v>يَحْيَىٰ، وَنَحْيَا، تَحْيَوْنَ، وَيَحْيَىٰ، حَىَّ</x:v>
      </x:c>
      <x:c r="J216" s="60" t="str">
        <x:v>7:25:3؛ 8:42:27؛ 8:42:29؛ 20:74:13</x:v>
      </x:c>
      <x:c r="K216" s="60" t="str">
        <x:v>مرشح بنيوي؛ لا تُستنتج الدلالة من اللمة وحدها</x:v>
      </x:c>
      <x:c r="L216" s="60" t="str">
        <x:v>https://corpus.quran.com/qurandictionary.jsp?q=Hyy</x:v>
      </x:c>
    </x:row>
    <x:row r="217">
      <x:c r="A217" s="60" t="str">
        <x:v>ح ي ي</x:v>
      </x:c>
      <x:c r="B217" s="60" t="str">
        <x:v>P2 — شبكات دلالية مركزية</x:v>
      </x:c>
      <x:c r="C217" s="60" t="str">
        <x:v>تَحِيَّة</x:v>
      </x:c>
      <x:c r="D217" s="62" t="n">
        <x:v>6</x:v>
      </x:c>
      <x:c r="E217" s="60" t="str">
        <x:v>اسم</x:v>
      </x:c>
      <x:c r="F217" s="60" t="str">
        <x:v>N</x:v>
      </x:c>
      <x:c r="G217" s="60" t="str">
        <x:v>2</x:v>
      </x:c>
      <x:c r="H217" s="62" t="n">
        <x:v>4</x:v>
      </x:c>
      <x:c r="I217" s="60" t="str">
        <x:v>تَحِيَّتُهُمْ، تَحِيَّةً، بِتَحِيَّةٍ، وَتَحِيَّتُهُمْ</x:v>
      </x:c>
      <x:c r="J217" s="60" t="str">
        <x:v>4:86:3؛ 10:10:5؛ 14:23:15؛ 24:61:64</x:v>
      </x:c>
      <x:c r="K217" s="60" t="str">
        <x:v>مرشح بنيوي؛ لا تُستنتج الدلالة من اللمة وحدها</x:v>
      </x:c>
      <x:c r="L217" s="60" t="str">
        <x:v>https://corpus.quran.com/qurandictionary.jsp?q=Hyy</x:v>
      </x:c>
    </x:row>
    <x:row r="218">
      <x:c r="A218" s="60" t="str">
        <x:v>ح ي ي</x:v>
      </x:c>
      <x:c r="B218" s="60" t="str">
        <x:v>P2 — شبكات دلالية مركزية</x:v>
      </x:c>
      <x:c r="C218" s="60" t="str">
        <x:v>يَحْيَى</x:v>
      </x:c>
      <x:c r="D218" s="62" t="n">
        <x:v>5</x:v>
      </x:c>
      <x:c r="E218" s="60" t="str">
        <x:v>اسم</x:v>
      </x:c>
      <x:c r="F218" s="60" t="str">
        <x:v>N</x:v>
      </x:c>
      <x:c r="G218" s="60" t="str">
        <x:v>—</x:v>
      </x:c>
      <x:c r="H218" s="62" t="n">
        <x:v>4</x:v>
      </x:c>
      <x:c r="I218" s="60" t="str">
        <x:v>يَحْيَىٰ، بِيَحْيَىٰ، وَيَحْيَىٰ، يَٰيَحْيَىٰ</x:v>
      </x:c>
      <x:c r="J218" s="60" t="str">
        <x:v>3:39:11؛ 6:85:2؛ 19:7:6؛ 19:12:1</x:v>
      </x:c>
      <x:c r="K218" s="60" t="str">
        <x:v>مرشح بنيوي؛ لا تُستنتج الدلالة من اللمة وحدها</x:v>
      </x:c>
      <x:c r="L218" s="60" t="str">
        <x:v>https://corpus.quran.com/qurandictionary.jsp?q=Hyy</x:v>
      </x:c>
    </x:row>
    <x:row r="219">
      <x:c r="A219" s="60" t="str">
        <x:v>ح ي ي</x:v>
      </x:c>
      <x:c r="B219" s="60" t="str">
        <x:v>P2 — شبكات دلالية مركزية</x:v>
      </x:c>
      <x:c r="C219" s="60" t="str">
        <x:v>حَيَّ</x:v>
      </x:c>
      <x:c r="D219" s="62" t="n">
        <x:v>4</x:v>
      </x:c>
      <x:c r="E219" s="60" t="str">
        <x:v>فعل</x:v>
      </x:c>
      <x:c r="F219" s="60" t="str">
        <x:v>V</x:v>
      </x:c>
      <x:c r="G219" s="60" t="str">
        <x:v>2</x:v>
      </x:c>
      <x:c r="H219" s="62" t="n">
        <x:v>4</x:v>
      </x:c>
      <x:c r="I219" s="60" t="str">
        <x:v>حُيِّيتُم، فَحَيُّوا۟، حَيَّوْكَ، يُحَيِّكَ</x:v>
      </x:c>
      <x:c r="J219" s="60" t="str">
        <x:v>4:86:2؛ 4:86:4؛ 58:8:20؛ 58:8:23</x:v>
      </x:c>
      <x:c r="K219" s="60" t="str">
        <x:v>مرشح بنيوي؛ لا تُستنتج الدلالة من اللمة وحدها</x:v>
      </x:c>
      <x:c r="L219" s="60" t="str">
        <x:v>https://corpus.quran.com/qurandictionary.jsp?q=Hyy</x:v>
      </x:c>
    </x:row>
    <x:row r="220">
      <x:c r="A220" s="60" t="str">
        <x:v>ح ي ي</x:v>
      </x:c>
      <x:c r="B220" s="60" t="str">
        <x:v>P2 — شبكات دلالية مركزية</x:v>
      </x:c>
      <x:c r="C220" s="60" t="str">
        <x:v>مَحْيا</x:v>
      </x:c>
      <x:c r="D220" s="62" t="n">
        <x:v>2</x:v>
      </x:c>
      <x:c r="E220" s="60" t="str">
        <x:v>اسم</x:v>
      </x:c>
      <x:c r="F220" s="60" t="str">
        <x:v>N</x:v>
      </x:c>
      <x:c r="G220" s="60" t="str">
        <x:v>—</x:v>
      </x:c>
      <x:c r="H220" s="62" t="n">
        <x:v>2</x:v>
      </x:c>
      <x:c r="I220" s="60" t="str">
        <x:v>وَمَحْيَاىَ، مَّحْيَاهُمْ</x:v>
      </x:c>
      <x:c r="J220" s="60" t="str">
        <x:v>6:162:5؛ 45:21:13</x:v>
      </x:c>
      <x:c r="K220" s="60" t="str">
        <x:v>مرشح بنيوي؛ لا تُستنتج الدلالة من اللمة وحدها</x:v>
      </x:c>
      <x:c r="L220" s="60" t="str">
        <x:v>https://corpus.quran.com/qurandictionary.jsp?q=Hyy</x:v>
      </x:c>
    </x:row>
    <x:row r="221">
      <x:c r="A221" s="60" t="str">
        <x:v>ح ي ي</x:v>
      </x:c>
      <x:c r="B221" s="60" t="str">
        <x:v>P2 — شبكات دلالية مركزية</x:v>
      </x:c>
      <x:c r="C221" s="60" t="str">
        <x:v>مُحْى</x:v>
      </x:c>
      <x:c r="D221" s="62" t="n">
        <x:v>2</x:v>
      </x:c>
      <x:c r="E221" s="60" t="str">
        <x:v>اسم</x:v>
      </x:c>
      <x:c r="F221" s="60" t="str">
        <x:v>N</x:v>
      </x:c>
      <x:c r="G221" s="60" t="str">
        <x:v>4</x:v>
      </x:c>
      <x:c r="H221" s="62" t="n">
        <x:v>1</x:v>
      </x:c>
      <x:c r="I221" s="60" t="str">
        <x:v>لَمُحْىِ</x:v>
      </x:c>
      <x:c r="J221" s="60" t="str">
        <x:v>30:50:13؛ 41:39:16</x:v>
      </x:c>
      <x:c r="K221" s="60" t="str">
        <x:v>مرشح بنيوي؛ لا تُستنتج الدلالة من اللمة وحدها</x:v>
      </x:c>
      <x:c r="L221" s="60" t="str">
        <x:v>https://corpus.quran.com/qurandictionary.jsp?q=Hyy</x:v>
      </x:c>
    </x:row>
    <x:row r="222">
      <x:c r="A222" s="60" t="str">
        <x:v>ح ي ي</x:v>
      </x:c>
      <x:c r="B222" s="60" t="str">
        <x:v>P2 — شبكات دلالية مركزية</x:v>
      </x:c>
      <x:c r="C222" s="60" t="str">
        <x:v>اسْتِحْياء</x:v>
      </x:c>
      <x:c r="D222" s="62" t="n">
        <x:v>1</x:v>
      </x:c>
      <x:c r="E222" s="60" t="str">
        <x:v>اسم</x:v>
      </x:c>
      <x:c r="F222" s="60" t="str">
        <x:v>N</x:v>
      </x:c>
      <x:c r="G222" s="60" t="str">
        <x:v>10</x:v>
      </x:c>
      <x:c r="H222" s="62" t="n">
        <x:v>1</x:v>
      </x:c>
      <x:c r="I222" s="60" t="str">
        <x:v>ٱسْتِحْيَآءٍ</x:v>
      </x:c>
      <x:c r="J222" s="60" t="str">
        <x:v>28:25:5</x:v>
      </x:c>
      <x:c r="K222" s="60" t="str">
        <x:v>مرشح بنيوي؛ لا تُستنتج الدلالة من اللمة وحدها</x:v>
      </x:c>
      <x:c r="L222" s="60" t="str">
        <x:v>https://corpus.quran.com/qurandictionary.jsp?q=Hyy</x:v>
      </x:c>
    </x:row>
    <x:row r="223">
      <x:c r="A223" s="60" t="str">
        <x:v>ح ي ي</x:v>
      </x:c>
      <x:c r="B223" s="60" t="str">
        <x:v>P2 — شبكات دلالية مركزية</x:v>
      </x:c>
      <x:c r="C223" s="60" t="str">
        <x:v>حَيَوان</x:v>
      </x:c>
      <x:c r="D223" s="62" t="n">
        <x:v>1</x:v>
      </x:c>
      <x:c r="E223" s="60" t="str">
        <x:v>اسم</x:v>
      </x:c>
      <x:c r="F223" s="60" t="str">
        <x:v>N</x:v>
      </x:c>
      <x:c r="G223" s="60" t="str">
        <x:v>—</x:v>
      </x:c>
      <x:c r="H223" s="62" t="n">
        <x:v>1</x:v>
      </x:c>
      <x:c r="I223" s="60" t="str">
        <x:v>ٱلْحَيَوَانُ</x:v>
      </x:c>
      <x:c r="J223" s="60" t="str">
        <x:v>29:64:12</x:v>
      </x:c>
      <x:c r="K223" s="60" t="str">
        <x:v>مرشح بنيوي؛ لا تُستنتج الدلالة من اللمة وحدها</x:v>
      </x:c>
      <x:c r="L223" s="60" t="str">
        <x:v>https://corpus.quran.com/qurandictionary.jsp?q=Hyy</x:v>
      </x:c>
    </x:row>
    <x:row r="224">
      <x:c r="A224" s="60" t="str">
        <x:v>ح ي ي</x:v>
      </x:c>
      <x:c r="B224" s="60" t="str">
        <x:v>P2 — شبكات دلالية مركزية</x:v>
      </x:c>
      <x:c r="C224" s="60" t="str">
        <x:v>حَيَّة</x:v>
      </x:c>
      <x:c r="D224" s="62" t="n">
        <x:v>1</x:v>
      </x:c>
      <x:c r="E224" s="60" t="str">
        <x:v>اسم</x:v>
      </x:c>
      <x:c r="F224" s="60" t="str">
        <x:v>N</x:v>
      </x:c>
      <x:c r="G224" s="60" t="str">
        <x:v>—</x:v>
      </x:c>
      <x:c r="H224" s="62" t="n">
        <x:v>1</x:v>
      </x:c>
      <x:c r="I224" s="60" t="str">
        <x:v>حَيَّةٌ</x:v>
      </x:c>
      <x:c r="J224" s="60" t="str">
        <x:v>20:20:4</x:v>
      </x:c>
      <x:c r="K224" s="60" t="str">
        <x:v>مرشح بنيوي؛ لا تُستنتج الدلالة من اللمة وحدها</x:v>
      </x:c>
      <x:c r="L224" s="60" t="str">
        <x:v>https://corpus.quran.com/qurandictionary.jsp?q=Hyy</x:v>
      </x:c>
    </x:row>
    <x:row r="225">
      <x:c r="A225" s="60" t="str">
        <x:v>ق ل ب</x:v>
      </x:c>
      <x:c r="B225" s="60" t="str">
        <x:v>P2 — شبكات دلالية مركزية</x:v>
      </x:c>
      <x:c r="C225" s="60" t="str">
        <x:v>قَلْب</x:v>
      </x:c>
      <x:c r="D225" s="62" t="n">
        <x:v>132</x:v>
      </x:c>
      <x:c r="E225" s="60" t="str">
        <x:v>اسم</x:v>
      </x:c>
      <x:c r="F225" s="60" t="str">
        <x:v>N</x:v>
      </x:c>
      <x:c r="G225" s="60" t="str">
        <x:v>—</x:v>
      </x:c>
      <x:c r="H225" s="62" t="n">
        <x:v>38</x:v>
      </x:c>
      <x:c r="I225" s="60" t="str">
        <x:v>قُلُوبِهِمْ، قُلُوبُهُمْ، قُلُوبِهِم، قُلُوبِ، قُلُوبِكُمْ</x:v>
      </x:c>
      <x:c r="J225" s="60" t="str">
        <x:v>2:7:4؛ 2:10:2؛ 2:74:3؛ 2:88:2</x:v>
      </x:c>
      <x:c r="K225" s="60" t="str">
        <x:v>مرشح بنيوي؛ لا تُستنتج الدلالة من اللمة وحدها</x:v>
      </x:c>
      <x:c r="L225" s="60" t="str">
        <x:v>https://corpus.quran.com/qurandictionary.jsp?q=qlb</x:v>
      </x:c>
    </x:row>
    <x:row r="226">
      <x:c r="A226" s="60" t="str">
        <x:v>ق ل ب</x:v>
      </x:c>
      <x:c r="B226" s="60" t="str">
        <x:v>P2 — شبكات دلالية مركزية</x:v>
      </x:c>
      <x:c r="C226" s="60" t="str">
        <x:v>انقَلَبَ</x:v>
      </x:c>
      <x:c r="D226" s="62" t="n">
        <x:v>17</x:v>
      </x:c>
      <x:c r="E226" s="60" t="str">
        <x:v>فعل</x:v>
      </x:c>
      <x:c r="F226" s="60" t="str">
        <x:v>V</x:v>
      </x:c>
      <x:c r="G226" s="60" t="str">
        <x:v>7</x:v>
      </x:c>
      <x:c r="H226" s="62" t="n">
        <x:v>13</x:v>
      </x:c>
      <x:c r="I226" s="60" t="str">
        <x:v>ٱنقَلَبْتُمْ، يَنقَلِبْ، فَتَنقَلِبُوا۟، ٱنقَلَبُوٓا۟، يَنقَلِبُ</x:v>
      </x:c>
      <x:c r="J226" s="60" t="str">
        <x:v>2:143:25؛ 3:127:8؛ 3:144:14؛ 3:144:18</x:v>
      </x:c>
      <x:c r="K226" s="60" t="str">
        <x:v>مرشح بنيوي؛ لا تُستنتج الدلالة من اللمة وحدها</x:v>
      </x:c>
      <x:c r="L226" s="60" t="str">
        <x:v>https://corpus.quran.com/qurandictionary.jsp?q=qlb</x:v>
      </x:c>
    </x:row>
    <x:row r="227">
      <x:c r="A227" s="60" t="str">
        <x:v>ق ل ب</x:v>
      </x:c>
      <x:c r="B227" s="60" t="str">
        <x:v>P2 — شبكات دلالية مركزية</x:v>
      </x:c>
      <x:c r="C227" s="60" t="str">
        <x:v>قَلَّبُ</x:v>
      </x:c>
      <x:c r="D227" s="62" t="n">
        <x:v>6</x:v>
      </x:c>
      <x:c r="E227" s="60" t="str">
        <x:v>فعل</x:v>
      </x:c>
      <x:c r="F227" s="60" t="str">
        <x:v>V</x:v>
      </x:c>
      <x:c r="G227" s="60" t="str">
        <x:v>2</x:v>
      </x:c>
      <x:c r="H227" s="62" t="n">
        <x:v>5</x:v>
      </x:c>
      <x:c r="I227" s="60" t="str">
        <x:v>يُقَلِّبُ، وَنُقَلِّبُ، وَقَلَّبُوا۟، وَنُقَلِّبُهُمْ، تُقَلَّبُ</x:v>
      </x:c>
      <x:c r="J227" s="60" t="str">
        <x:v>6:110:1؛ 9:48:6؛ 18:18:5؛ 18:42:4</x:v>
      </x:c>
      <x:c r="K227" s="60" t="str">
        <x:v>مرشح بنيوي؛ لا تُستنتج الدلالة من اللمة وحدها</x:v>
      </x:c>
      <x:c r="L227" s="60" t="str">
        <x:v>https://corpus.quran.com/qurandictionary.jsp?q=qlb</x:v>
      </x:c>
    </x:row>
    <x:row r="228">
      <x:c r="A228" s="60" t="str">
        <x:v>ق ل ب</x:v>
      </x:c>
      <x:c r="B228" s="60" t="str">
        <x:v>P2 — شبكات دلالية مركزية</x:v>
      </x:c>
      <x:c r="C228" s="60" t="str">
        <x:v>تَقَلُّب</x:v>
      </x:c>
      <x:c r="D228" s="62" t="n">
        <x:v>5</x:v>
      </x:c>
      <x:c r="E228" s="60" t="str">
        <x:v>اسم</x:v>
      </x:c>
      <x:c r="F228" s="60" t="str">
        <x:v>N</x:v>
      </x:c>
      <x:c r="G228" s="60" t="str">
        <x:v>5</x:v>
      </x:c>
      <x:c r="H228" s="62" t="n">
        <x:v>5</x:v>
      </x:c>
      <x:c r="I228" s="60" t="str">
        <x:v>تَقَلُّبَ، تَقَلُّبُ، تَقَلُّبِهِمْ، وَتَقَلُّبَكَ، تَقَلُّبُهُمْ</x:v>
      </x:c>
      <x:c r="J228" s="60" t="str">
        <x:v>2:144:3؛ 3:196:3؛ 16:46:4؛ 26:219:1</x:v>
      </x:c>
      <x:c r="K228" s="60" t="str">
        <x:v>مرشح بنيوي؛ لا تُستنتج الدلالة من اللمة وحدها</x:v>
      </x:c>
      <x:c r="L228" s="60" t="str">
        <x:v>https://corpus.quran.com/qurandictionary.jsp?q=qlb</x:v>
      </x:c>
    </x:row>
    <x:row r="229">
      <x:c r="A229" s="60" t="str">
        <x:v>ق ل ب</x:v>
      </x:c>
      <x:c r="B229" s="60" t="str">
        <x:v>P2 — شبكات دلالية مركزية</x:v>
      </x:c>
      <x:c r="C229" s="60" t="str">
        <x:v>مُنقَلِب</x:v>
      </x:c>
      <x:c r="D229" s="62" t="n">
        <x:v>3</x:v>
      </x:c>
      <x:c r="E229" s="60" t="str">
        <x:v>اسم</x:v>
      </x:c>
      <x:c r="F229" s="60" t="str">
        <x:v>N</x:v>
      </x:c>
      <x:c r="G229" s="60" t="str">
        <x:v>7</x:v>
      </x:c>
      <x:c r="H229" s="62" t="n">
        <x:v>2</x:v>
      </x:c>
      <x:c r="I229" s="60" t="str">
        <x:v>مُنقَلِبُونَ، لَمُنقَلِبُونَ</x:v>
      </x:c>
      <x:c r="J229" s="60" t="str">
        <x:v>7:125:5؛ 26:50:7؛ 43:14:4</x:v>
      </x:c>
      <x:c r="K229" s="60" t="str">
        <x:v>مرشح بنيوي؛ لا تُستنتج الدلالة من اللمة وحدها</x:v>
      </x:c>
      <x:c r="L229" s="60" t="str">
        <x:v>https://corpus.quran.com/qurandictionary.jsp?q=qlb</x:v>
      </x:c>
    </x:row>
    <x:row r="230">
      <x:c r="A230" s="60" t="str">
        <x:v>ق ل ب</x:v>
      </x:c>
      <x:c r="B230" s="60" t="str">
        <x:v>P2 — شبكات دلالية مركزية</x:v>
      </x:c>
      <x:c r="C230" s="60" t="str">
        <x:v>مُنقَلَب</x:v>
      </x:c>
      <x:c r="D230" s="62" t="n">
        <x:v>2</x:v>
      </x:c>
      <x:c r="E230" s="60" t="str">
        <x:v>اسم</x:v>
      </x:c>
      <x:c r="F230" s="60" t="str">
        <x:v>N</x:v>
      </x:c>
      <x:c r="G230" s="60" t="str">
        <x:v>7</x:v>
      </x:c>
      <x:c r="H230" s="62" t="n">
        <x:v>2</x:v>
      </x:c>
      <x:c r="I230" s="60" t="str">
        <x:v>مُنقَلَبًا، مُنقَلَبٍ</x:v>
      </x:c>
      <x:c r="J230" s="60" t="str">
        <x:v>18:36:12؛ 26:227:18</x:v>
      </x:c>
      <x:c r="K230" s="60" t="str">
        <x:v>مرشح بنيوي؛ لا تُستنتج الدلالة من اللمة وحدها</x:v>
      </x:c>
      <x:c r="L230" s="60" t="str">
        <x:v>https://corpus.quran.com/qurandictionary.jsp?q=qlb</x:v>
      </x:c>
    </x:row>
    <x:row r="231">
      <x:c r="A231" s="60" t="str">
        <x:v>ق ل ب</x:v>
      </x:c>
      <x:c r="B231" s="60" t="str">
        <x:v>P2 — شبكات دلالية مركزية</x:v>
      </x:c>
      <x:c r="C231" s="60" t="str">
        <x:v>تَتَقَلَّبُ</x:v>
      </x:c>
      <x:c r="D231" s="62" t="n">
        <x:v>1</x:v>
      </x:c>
      <x:c r="E231" s="60" t="str">
        <x:v>فعل</x:v>
      </x:c>
      <x:c r="F231" s="60" t="str">
        <x:v>V</x:v>
      </x:c>
      <x:c r="G231" s="60" t="str">
        <x:v>5</x:v>
      </x:c>
      <x:c r="H231" s="62" t="n">
        <x:v>1</x:v>
      </x:c>
      <x:c r="I231" s="60" t="str">
        <x:v>تَتَقَلَّبُ</x:v>
      </x:c>
      <x:c r="J231" s="60" t="str">
        <x:v>24:37:16</x:v>
      </x:c>
      <x:c r="K231" s="60" t="str">
        <x:v>مرشح بنيوي؛ لا تُستنتج الدلالة من اللمة وحدها</x:v>
      </x:c>
      <x:c r="L231" s="60" t="str">
        <x:v>https://corpus.quran.com/qurandictionary.jsp?q=qlb</x:v>
      </x:c>
    </x:row>
    <x:row r="232">
      <x:c r="A232" s="60" t="str">
        <x:v>ق ل ب</x:v>
      </x:c>
      <x:c r="B232" s="60" t="str">
        <x:v>P2 — شبكات دلالية مركزية</x:v>
      </x:c>
      <x:c r="C232" s="60" t="str">
        <x:v>تُقْلَبُ</x:v>
      </x:c>
      <x:c r="D232" s="62" t="n">
        <x:v>1</x:v>
      </x:c>
      <x:c r="E232" s="60" t="str">
        <x:v>فعل</x:v>
      </x:c>
      <x:c r="F232" s="60" t="str">
        <x:v>V</x:v>
      </x:c>
      <x:c r="G232" s="60" t="str">
        <x:v>1</x:v>
      </x:c>
      <x:c r="H232" s="62" t="n">
        <x:v>1</x:v>
      </x:c>
      <x:c r="I232" s="60" t="str">
        <x:v>تُقْلَبُونَ</x:v>
      </x:c>
      <x:c r="J232" s="60" t="str">
        <x:v>29:21:8</x:v>
      </x:c>
      <x:c r="K232" s="60" t="str">
        <x:v>مرشح بنيوي؛ لا تُستنتج الدلالة من اللمة وحدها</x:v>
      </x:c>
      <x:c r="L232" s="60" t="str">
        <x:v>https://corpus.quran.com/qurandictionary.jsp?q=qlb</x:v>
      </x:c>
    </x:row>
    <x:row r="233">
      <x:c r="A233" s="60" t="str">
        <x:v>ق ل ب</x:v>
      </x:c>
      <x:c r="B233" s="60" t="str">
        <x:v>P2 — شبكات دلالية مركزية</x:v>
      </x:c>
      <x:c r="C233" s="60" t="str">
        <x:v>مُتَقَلَّب</x:v>
      </x:c>
      <x:c r="D233" s="62" t="n">
        <x:v>1</x:v>
      </x:c>
      <x:c r="E233" s="60" t="str">
        <x:v>اسم</x:v>
      </x:c>
      <x:c r="F233" s="60" t="str">
        <x:v>N</x:v>
      </x:c>
      <x:c r="G233" s="60" t="str">
        <x:v>5</x:v>
      </x:c>
      <x:c r="H233" s="62" t="n">
        <x:v>1</x:v>
      </x:c>
      <x:c r="I233" s="60" t="str">
        <x:v>مُتَقَلَّبَكُمْ</x:v>
      </x:c>
      <x:c r="J233" s="60" t="str">
        <x:v>47:19:13</x:v>
      </x:c>
      <x:c r="K233" s="60" t="str">
        <x:v>مرشح بنيوي؛ لا تُستنتج الدلالة من اللمة وحدها</x:v>
      </x:c>
      <x:c r="L233" s="60" t="str">
        <x:v>https://corpus.quran.com/qurandictionary.jsp?q=qlb</x:v>
      </x:c>
    </x:row>
    <x:row r="234">
      <x:c r="A234" s="60" t="str">
        <x:v>ص د ق</x:v>
      </x:c>
      <x:c r="B234" s="60" t="str">
        <x:v>P2 — شبكات دلالية مركزية</x:v>
      </x:c>
      <x:c r="C234" s="60" t="str">
        <x:v>صادِق</x:v>
      </x:c>
      <x:c r="D234" s="62" t="n">
        <x:v>59</x:v>
      </x:c>
      <x:c r="E234" s="60" t="str">
        <x:v>اسم</x:v>
      </x:c>
      <x:c r="F234" s="60" t="str">
        <x:v>N</x:v>
      </x:c>
      <x:c r="G234" s="60" t="str">
        <x:v>1</x:v>
      </x:c>
      <x:c r="H234" s="62" t="n">
        <x:v>8</x:v>
      </x:c>
      <x:c r="I234" s="60" t="str">
        <x:v>صَٰدِقِينَ، ٱلصَّٰدِقِينَ، لَصَٰدِقُونَ، وَٱلصَّٰدِقِينَ، ٱلصَّٰدِقُونَ</x:v>
      </x:c>
      <x:c r="J234" s="60" t="str">
        <x:v>2:23:20؛ 2:31:15؛ 2:94:17؛ 2:111:18</x:v>
      </x:c>
      <x:c r="K234" s="60" t="str">
        <x:v>مرشح بنيوي؛ لا تُستنتج الدلالة من اللمة وحدها</x:v>
      </x:c>
      <x:c r="L234" s="60" t="str">
        <x:v>https://corpus.quran.com/qurandictionary.jsp?q=Sdq</x:v>
      </x:c>
    </x:row>
    <x:row r="235">
      <x:c r="A235" s="60" t="str">
        <x:v>ص د ق</x:v>
      </x:c>
      <x:c r="B235" s="60" t="str">
        <x:v>P2 — شبكات دلالية مركزية</x:v>
      </x:c>
      <x:c r="C235" s="60" t="str">
        <x:v>مُصَدِّق</x:v>
      </x:c>
      <x:c r="D235" s="62" t="n">
        <x:v>19</x:v>
      </x:c>
      <x:c r="E235" s="60" t="str">
        <x:v>اسم</x:v>
      </x:c>
      <x:c r="F235" s="60" t="str">
        <x:v>N</x:v>
      </x:c>
      <x:c r="G235" s="60" t="str">
        <x:v>2</x:v>
      </x:c>
      <x:c r="H235" s="62" t="n">
        <x:v>8</x:v>
      </x:c>
      <x:c r="I235" s="60" t="str">
        <x:v>مُصَدِّقًا، مُصَدِّقٌ، وَمُصَدِّقًا، مُّصَدِّقٌ، مُصَدِّقًۢا</x:v>
      </x:c>
      <x:c r="J235" s="60" t="str">
        <x:v>2:41:4؛ 2:89:7؛ 2:91:18؛ 2:97:12</x:v>
      </x:c>
      <x:c r="K235" s="60" t="str">
        <x:v>مرشح بنيوي؛ لا تُستنتج الدلالة من اللمة وحدها</x:v>
      </x:c>
      <x:c r="L235" s="60" t="str">
        <x:v>https://corpus.quran.com/qurandictionary.jsp?q=Sdq</x:v>
      </x:c>
    </x:row>
    <x:row r="236">
      <x:c r="A236" s="60" t="str">
        <x:v>ص د ق</x:v>
      </x:c>
      <x:c r="B236" s="60" t="str">
        <x:v>P2 — شبكات دلالية مركزية</x:v>
      </x:c>
      <x:c r="C236" s="60" t="str">
        <x:v>صَدَقَ</x:v>
      </x:c>
      <x:c r="D236" s="62" t="n">
        <x:v>15</x:v>
      </x:c>
      <x:c r="E236" s="60" t="str">
        <x:v>فعل</x:v>
      </x:c>
      <x:c r="F236" s="60" t="str">
        <x:v>V</x:v>
      </x:c>
      <x:c r="G236" s="60" t="str">
        <x:v>1</x:v>
      </x:c>
      <x:c r="H236" s="62" t="n">
        <x:v>9</x:v>
      </x:c>
      <x:c r="I236" s="60" t="str">
        <x:v>صَدَقُوا۟، صَدَقَ، وَصَدَقَ، صَدَقَكُمُ، صَدَقْتَنَا</x:v>
      </x:c>
      <x:c r="J236" s="60" t="str">
        <x:v>2:177:48؛ 3:95:2؛ 3:152:2؛ 5:113:11</x:v>
      </x:c>
      <x:c r="K236" s="60" t="str">
        <x:v>مرشح بنيوي؛ لا تُستنتج الدلالة من اللمة وحدها</x:v>
      </x:c>
      <x:c r="L236" s="60" t="str">
        <x:v>https://corpus.quran.com/qurandictionary.jsp?q=Sdq</x:v>
      </x:c>
    </x:row>
    <x:row r="237">
      <x:c r="A237" s="60" t="str">
        <x:v>ص د ق</x:v>
      </x:c>
      <x:c r="B237" s="60" t="str">
        <x:v>P2 — شبكات دلالية مركزية</x:v>
      </x:c>
      <x:c r="C237" s="60" t="str">
        <x:v>صِدْق</x:v>
      </x:c>
      <x:c r="D237" s="62" t="n">
        <x:v>14</x:v>
      </x:c>
      <x:c r="E237" s="60" t="str">
        <x:v>اسم</x:v>
      </x:c>
      <x:c r="F237" s="60" t="str">
        <x:v>N</x:v>
      </x:c>
      <x:c r="G237" s="60" t="str">
        <x:v>—</x:v>
      </x:c>
      <x:c r="H237" s="62" t="n">
        <x:v>7</x:v>
      </x:c>
      <x:c r="I237" s="60" t="str">
        <x:v>صِدْقٍ، بِٱلصِّدْقِ، صِدْقُهُمْ، صِدْقًا، صِدْقِهِمْ</x:v>
      </x:c>
      <x:c r="J237" s="60" t="str">
        <x:v>5:119:7؛ 6:115:4؛ 10:2:18؛ 10:93:6</x:v>
      </x:c>
      <x:c r="K237" s="60" t="str">
        <x:v>مرشح بنيوي؛ لا تُستنتج الدلالة من اللمة وحدها</x:v>
      </x:c>
      <x:c r="L237" s="60" t="str">
        <x:v>https://corpus.quran.com/qurandictionary.jsp?q=Sdq</x:v>
      </x:c>
    </x:row>
    <x:row r="238">
      <x:c r="A238" s="60" t="str">
        <x:v>ص د ق</x:v>
      </x:c>
      <x:c r="B238" s="60" t="str">
        <x:v>P2 — شبكات دلالية مركزية</x:v>
      </x:c>
      <x:c r="C238" s="60" t="str">
        <x:v>صَدَقَة</x:v>
      </x:c>
      <x:c r="D238" s="62" t="n">
        <x:v>13</x:v>
      </x:c>
      <x:c r="E238" s="60" t="str">
        <x:v>اسم</x:v>
      </x:c>
      <x:c r="F238" s="60" t="str">
        <x:v>N</x:v>
      </x:c>
      <x:c r="G238" s="60" t="str">
        <x:v>—</x:v>
      </x:c>
      <x:c r="H238" s="62" t="n">
        <x:v>7</x:v>
      </x:c>
      <x:c r="I238" s="60" t="str">
        <x:v>ٱلصَّدَقَٰتِ، صَدَقَةٍ، صَدَقَةً، صَدَقَٰتِكُم، بِصَدَقَةٍ</x:v>
      </x:c>
      <x:c r="J238" s="60" t="str">
        <x:v>2:196:31؛ 2:263:6؛ 2:264:6؛ 2:271:3</x:v>
      </x:c>
      <x:c r="K238" s="60" t="str">
        <x:v>مرشح بنيوي؛ لا تُستنتج الدلالة من اللمة وحدها</x:v>
      </x:c>
      <x:c r="L238" s="60" t="str">
        <x:v>https://corpus.quran.com/qurandictionary.jsp?q=Sdq</x:v>
      </x:c>
    </x:row>
    <x:row r="239">
      <x:c r="A239" s="60" t="str">
        <x:v>ص د ق</x:v>
      </x:c>
      <x:c r="B239" s="60" t="str">
        <x:v>P2 — شبكات دلالية مركزية</x:v>
      </x:c>
      <x:c r="C239" s="60" t="str">
        <x:v>صَدَّقَ</x:v>
      </x:c>
      <x:c r="D239" s="62" t="n">
        <x:v>10</x:v>
      </x:c>
      <x:c r="E239" s="60" t="str">
        <x:v>فعل</x:v>
      </x:c>
      <x:c r="F239" s="60" t="str">
        <x:v>V</x:v>
      </x:c>
      <x:c r="G239" s="60" t="str">
        <x:v>2</x:v>
      </x:c>
      <x:c r="H239" s="62" t="n">
        <x:v>7</x:v>
      </x:c>
      <x:c r="I239" s="60" t="str">
        <x:v>وَصَدَّقَ، صَدَّقَ، يُصَدِّقُنِىٓ، صَدَّقْتَ، تُصَدِّقُونَ</x:v>
      </x:c>
      <x:c r="J239" s="60" t="str">
        <x:v>28:34:10؛ 34:20:2؛ 37:37:4؛ 37:105:2</x:v>
      </x:c>
      <x:c r="K239" s="60" t="str">
        <x:v>مرشح بنيوي؛ لا تُستنتج الدلالة من اللمة وحدها</x:v>
      </x:c>
      <x:c r="L239" s="60" t="str">
        <x:v>https://corpus.quran.com/qurandictionary.jsp?q=Sdq</x:v>
      </x:c>
    </x:row>
    <x:row r="240">
      <x:c r="A240" s="60" t="str">
        <x:v>ص د ق</x:v>
      </x:c>
      <x:c r="B240" s="60" t="str">
        <x:v>P2 — شبكات دلالية مركزية</x:v>
      </x:c>
      <x:c r="C240" s="60" t="str">
        <x:v>تَصَدَّقَ</x:v>
      </x:c>
      <x:c r="D240" s="62" t="n">
        <x:v>6</x:v>
      </x:c>
      <x:c r="E240" s="60" t="str">
        <x:v>فعل</x:v>
      </x:c>
      <x:c r="F240" s="60" t="str">
        <x:v>V</x:v>
      </x:c>
      <x:c r="G240" s="60" t="str">
        <x:v>5</x:v>
      </x:c>
      <x:c r="H240" s="62" t="n">
        <x:v>6</x:v>
      </x:c>
      <x:c r="I240" s="60" t="str">
        <x:v>تَصَدَّقُوا۟، يَصَّدَّقُوا۟، تَصَدَّقَ، لَنَصَّدَّقَنَّ، وَتَصَدَّقْ</x:v>
      </x:c>
      <x:c r="J240" s="60" t="str">
        <x:v>2:280:9؛ 4:92:22؛ 5:45:18؛ 9:75:9</x:v>
      </x:c>
      <x:c r="K240" s="60" t="str">
        <x:v>مرشح بنيوي؛ لا تُستنتج الدلالة من اللمة وحدها</x:v>
      </x:c>
      <x:c r="L240" s="60" t="str">
        <x:v>https://corpus.quran.com/qurandictionary.jsp?q=Sdq</x:v>
      </x:c>
    </x:row>
    <x:row r="241">
      <x:c r="A241" s="60" t="str">
        <x:v>ص د ق</x:v>
      </x:c>
      <x:c r="B241" s="60" t="str">
        <x:v>P2 — شبكات دلالية مركزية</x:v>
      </x:c>
      <x:c r="C241" s="60" t="str">
        <x:v>صِدِّيق</x:v>
      </x:c>
      <x:c r="D241" s="62" t="n">
        <x:v>5</x:v>
      </x:c>
      <x:c r="E241" s="60" t="str">
        <x:v>اسم</x:v>
      </x:c>
      <x:c r="F241" s="60" t="str">
        <x:v>N</x:v>
      </x:c>
      <x:c r="G241" s="60" t="str">
        <x:v>—</x:v>
      </x:c>
      <x:c r="H241" s="62" t="n">
        <x:v>4</x:v>
      </x:c>
      <x:c r="I241" s="60" t="str">
        <x:v>صِدِّيقًا، وَٱلصِّدِّيقِينَ، ٱلصِّدِّيقُ، ٱلصِّدِّيقُونَ</x:v>
      </x:c>
      <x:c r="J241" s="60" t="str">
        <x:v>4:69:13؛ 12:46:3؛ 19:41:7؛ 19:56:7</x:v>
      </x:c>
      <x:c r="K241" s="60" t="str">
        <x:v>مرشح بنيوي؛ لا تُستنتج الدلالة من اللمة وحدها</x:v>
      </x:c>
      <x:c r="L241" s="60" t="str">
        <x:v>https://corpus.quran.com/qurandictionary.jsp?q=Sdq</x:v>
      </x:c>
    </x:row>
    <x:row r="242">
      <x:c r="A242" s="60" t="str">
        <x:v>ص د ق</x:v>
      </x:c>
      <x:c r="B242" s="60" t="str">
        <x:v>P2 — شبكات دلالية مركزية</x:v>
      </x:c>
      <x:c r="C242" s="60" t="str">
        <x:v>أَصْدَق</x:v>
      </x:c>
      <x:c r="D242" s="62" t="n">
        <x:v>2</x:v>
      </x:c>
      <x:c r="E242" s="60" t="str">
        <x:v>اسم</x:v>
      </x:c>
      <x:c r="F242" s="60" t="str">
        <x:v>N</x:v>
      </x:c>
      <x:c r="G242" s="60" t="str">
        <x:v>—</x:v>
      </x:c>
      <x:c r="H242" s="62" t="n">
        <x:v>1</x:v>
      </x:c>
      <x:c r="I242" s="60" t="str">
        <x:v>أَصْدَقُ</x:v>
      </x:c>
      <x:c r="J242" s="60" t="str">
        <x:v>4:87:14؛ 4:122:18</x:v>
      </x:c>
      <x:c r="K242" s="60" t="str">
        <x:v>مرشح بنيوي؛ لا تُستنتج الدلالة من اللمة وحدها</x:v>
      </x:c>
      <x:c r="L242" s="60" t="str">
        <x:v>https://corpus.quran.com/qurandictionary.jsp?q=Sdq</x:v>
      </x:c>
    </x:row>
    <x:row r="243">
      <x:c r="A243" s="60" t="str">
        <x:v>ص د ق</x:v>
      </x:c>
      <x:c r="B243" s="60" t="str">
        <x:v>P2 — شبكات دلالية مركزية</x:v>
      </x:c>
      <x:c r="C243" s="60" t="str">
        <x:v>تَصْدِيق</x:v>
      </x:c>
      <x:c r="D243" s="62" t="n">
        <x:v>2</x:v>
      </x:c>
      <x:c r="E243" s="60" t="str">
        <x:v>اسم</x:v>
      </x:c>
      <x:c r="F243" s="60" t="str">
        <x:v>N</x:v>
      </x:c>
      <x:c r="G243" s="60" t="str">
        <x:v>2</x:v>
      </x:c>
      <x:c r="H243" s="62" t="n">
        <x:v>1</x:v>
      </x:c>
      <x:c r="I243" s="60" t="str">
        <x:v>تَصْدِيقَ</x:v>
      </x:c>
      <x:c r="J243" s="60" t="str">
        <x:v>10:37:11؛ 12:111:13</x:v>
      </x:c>
      <x:c r="K243" s="60" t="str">
        <x:v>مرشح بنيوي؛ لا تُستنتج الدلالة من اللمة وحدها</x:v>
      </x:c>
      <x:c r="L243" s="60" t="str">
        <x:v>https://corpus.quran.com/qurandictionary.jsp?q=Sdq</x:v>
      </x:c>
    </x:row>
    <x:row r="244">
      <x:c r="A244" s="60" t="str">
        <x:v>ص د ق</x:v>
      </x:c>
      <x:c r="B244" s="60" t="str">
        <x:v>P2 — شبكات دلالية مركزية</x:v>
      </x:c>
      <x:c r="C244" s="60" t="str">
        <x:v>صَدِيق</x:v>
      </x:c>
      <x:c r="D244" s="62" t="n">
        <x:v>2</x:v>
      </x:c>
      <x:c r="E244" s="60" t="str">
        <x:v>اسم</x:v>
      </x:c>
      <x:c r="F244" s="60" t="str">
        <x:v>N</x:v>
      </x:c>
      <x:c r="G244" s="60" t="str">
        <x:v>—</x:v>
      </x:c>
      <x:c r="H244" s="62" t="n">
        <x:v>2</x:v>
      </x:c>
      <x:c r="I244" s="60" t="str">
        <x:v>صَدِيقِكُمْ، صَدِيقٍ</x:v>
      </x:c>
      <x:c r="J244" s="60" t="str">
        <x:v>24:61:49؛ 26:101:2</x:v>
      </x:c>
      <x:c r="K244" s="60" t="str">
        <x:v>مرشح بنيوي؛ لا تُستنتج الدلالة من اللمة وحدها</x:v>
      </x:c>
      <x:c r="L244" s="60" t="str">
        <x:v>https://corpus.quran.com/qurandictionary.jsp?q=Sdq</x:v>
      </x:c>
    </x:row>
    <x:row r="245">
      <x:c r="A245" s="60" t="str">
        <x:v>ص د ق</x:v>
      </x:c>
      <x:c r="B245" s="60" t="str">
        <x:v>P2 — شبكات دلالية مركزية</x:v>
      </x:c>
      <x:c r="C245" s="60" t="str">
        <x:v>مُتَصَدِّق</x:v>
      </x:c>
      <x:c r="D245" s="62" t="n">
        <x:v>2</x:v>
      </x:c>
      <x:c r="E245" s="60" t="str">
        <x:v>اسم</x:v>
      </x:c>
      <x:c r="F245" s="60" t="str">
        <x:v>N</x:v>
      </x:c>
      <x:c r="G245" s="60" t="str">
        <x:v>5</x:v>
      </x:c>
      <x:c r="H245" s="62" t="n">
        <x:v>2</x:v>
      </x:c>
      <x:c r="I245" s="60" t="str">
        <x:v>ٱلْمُتَصَدِّقِينَ، وَٱلْمُتَصَدِّقِينَ</x:v>
      </x:c>
      <x:c r="J245" s="60" t="str">
        <x:v>12:88:21؛ 33:35:14</x:v>
      </x:c>
      <x:c r="K245" s="60" t="str">
        <x:v>مرشح بنيوي؛ لا تُستنتج الدلالة من اللمة وحدها</x:v>
      </x:c>
      <x:c r="L245" s="60" t="str">
        <x:v>https://corpus.quran.com/qurandictionary.jsp?q=Sdq</x:v>
      </x:c>
    </x:row>
    <x:row r="246">
      <x:c r="A246" s="60" t="str">
        <x:v>ص د ق</x:v>
      </x:c>
      <x:c r="B246" s="60" t="str">
        <x:v>P2 — شبكات دلالية مركزية</x:v>
      </x:c>
      <x:c r="C246" s="60" t="str">
        <x:v>صادِقَة</x:v>
      </x:c>
      <x:c r="D246" s="62" t="n">
        <x:v>1</x:v>
      </x:c>
      <x:c r="E246" s="60" t="str">
        <x:v>اسم</x:v>
      </x:c>
      <x:c r="F246" s="60" t="str">
        <x:v>N</x:v>
      </x:c>
      <x:c r="G246" s="60" t="str">
        <x:v>1</x:v>
      </x:c>
      <x:c r="H246" s="62" t="n">
        <x:v>1</x:v>
      </x:c>
      <x:c r="I246" s="60" t="str">
        <x:v>وَٱلصَّٰدِقَٰتِ</x:v>
      </x:c>
      <x:c r="J246" s="60" t="str">
        <x:v>33:35:9</x:v>
      </x:c>
      <x:c r="K246" s="60" t="str">
        <x:v>مرشح بنيوي؛ لا تُستنتج الدلالة من اللمة وحدها</x:v>
      </x:c>
      <x:c r="L246" s="60" t="str">
        <x:v>https://corpus.quran.com/qurandictionary.jsp?q=Sdq</x:v>
      </x:c>
    </x:row>
    <x:row r="247">
      <x:c r="A247" s="60" t="str">
        <x:v>ص د ق</x:v>
      </x:c>
      <x:c r="B247" s="60" t="str">
        <x:v>P2 — شبكات دلالية مركزية</x:v>
      </x:c>
      <x:c r="C247" s="60" t="str">
        <x:v>صَدُقَة</x:v>
      </x:c>
      <x:c r="D247" s="62" t="n">
        <x:v>1</x:v>
      </x:c>
      <x:c r="E247" s="60" t="str">
        <x:v>اسم</x:v>
      </x:c>
      <x:c r="F247" s="60" t="str">
        <x:v>N</x:v>
      </x:c>
      <x:c r="G247" s="60" t="str">
        <x:v>—</x:v>
      </x:c>
      <x:c r="H247" s="62" t="n">
        <x:v>1</x:v>
      </x:c>
      <x:c r="I247" s="60" t="str">
        <x:v>صَدُقَٰتِهِنَّ</x:v>
      </x:c>
      <x:c r="J247" s="60" t="str">
        <x:v>4:4:3</x:v>
      </x:c>
      <x:c r="K247" s="60" t="str">
        <x:v>مرشح بنيوي؛ لا تُستنتج الدلالة من اللمة وحدها</x:v>
      </x:c>
      <x:c r="L247" s="60" t="str">
        <x:v>https://corpus.quran.com/qurandictionary.jsp?q=Sdq</x:v>
      </x:c>
    </x:row>
    <x:row r="248">
      <x:c r="A248" s="60" t="str">
        <x:v>ص د ق</x:v>
      </x:c>
      <x:c r="B248" s="60" t="str">
        <x:v>P2 — شبكات دلالية مركزية</x:v>
      </x:c>
      <x:c r="C248" s="60" t="str">
        <x:v>صِدِّيقَة</x:v>
      </x:c>
      <x:c r="D248" s="62" t="n">
        <x:v>1</x:v>
      </x:c>
      <x:c r="E248" s="60" t="str">
        <x:v>اسم</x:v>
      </x:c>
      <x:c r="F248" s="60" t="str">
        <x:v>N</x:v>
      </x:c>
      <x:c r="G248" s="60" t="str">
        <x:v>—</x:v>
      </x:c>
      <x:c r="H248" s="62" t="n">
        <x:v>1</x:v>
      </x:c>
      <x:c r="I248" s="60" t="str">
        <x:v>صِدِّيقَةٌ</x:v>
      </x:c>
      <x:c r="J248" s="60" t="str">
        <x:v>5:75:13</x:v>
      </x:c>
      <x:c r="K248" s="60" t="str">
        <x:v>مرشح بنيوي؛ لا تُستنتج الدلالة من اللمة وحدها</x:v>
      </x:c>
      <x:c r="L248" s="60" t="str">
        <x:v>https://corpus.quran.com/qurandictionary.jsp?q=Sdq</x:v>
      </x:c>
    </x:row>
    <x:row r="249">
      <x:c r="A249" s="60" t="str">
        <x:v>ص د ق</x:v>
      </x:c>
      <x:c r="B249" s="60" t="str">
        <x:v>P2 — شبكات دلالية مركزية</x:v>
      </x:c>
      <x:c r="C249" s="60" t="str">
        <x:v>مُتَصَدِّقَة</x:v>
      </x:c>
      <x:c r="D249" s="62" t="n">
        <x:v>1</x:v>
      </x:c>
      <x:c r="E249" s="60" t="str">
        <x:v>اسم</x:v>
      </x:c>
      <x:c r="F249" s="60" t="str">
        <x:v>N</x:v>
      </x:c>
      <x:c r="G249" s="60" t="str">
        <x:v>5</x:v>
      </x:c>
      <x:c r="H249" s="62" t="n">
        <x:v>1</x:v>
      </x:c>
      <x:c r="I249" s="60" t="str">
        <x:v>وَٱلْمُتَصَدِّقَٰتِ</x:v>
      </x:c>
      <x:c r="J249" s="60" t="str">
        <x:v>33:35:15</x:v>
      </x:c>
      <x:c r="K249" s="60" t="str">
        <x:v>مرشح بنيوي؛ لا تُستنتج الدلالة من اللمة وحدها</x:v>
      </x:c>
      <x:c r="L249" s="60" t="str">
        <x:v>https://corpus.quran.com/qurandictionary.jsp?q=Sdq</x:v>
      </x:c>
    </x:row>
    <x:row r="250">
      <x:c r="A250" s="60" t="str">
        <x:v>ص د ق</x:v>
      </x:c>
      <x:c r="B250" s="60" t="str">
        <x:v>P2 — شبكات دلالية مركزية</x:v>
      </x:c>
      <x:c r="C250" s="60" t="str">
        <x:v>مُصَّدِّق</x:v>
      </x:c>
      <x:c r="D250" s="62" t="n">
        <x:v>1</x:v>
      </x:c>
      <x:c r="E250" s="60" t="str">
        <x:v>اسم</x:v>
      </x:c>
      <x:c r="F250" s="60" t="str">
        <x:v>N</x:v>
      </x:c>
      <x:c r="G250" s="60" t="str">
        <x:v>5</x:v>
      </x:c>
      <x:c r="H250" s="62" t="n">
        <x:v>1</x:v>
      </x:c>
      <x:c r="I250" s="60" t="str">
        <x:v>ٱلْمُصَّدِّقِينَ</x:v>
      </x:c>
      <x:c r="J250" s="60" t="str">
        <x:v>57:18:2</x:v>
      </x:c>
      <x:c r="K250" s="60" t="str">
        <x:v>مرشح بنيوي؛ لا تُستنتج الدلالة من اللمة وحدها</x:v>
      </x:c>
      <x:c r="L250" s="60" t="str">
        <x:v>https://corpus.quran.com/qurandictionary.jsp?q=Sdq</x:v>
      </x:c>
    </x:row>
    <x:row r="251">
      <x:c r="A251" s="60" t="str">
        <x:v>ص د ق</x:v>
      </x:c>
      <x:c r="B251" s="60" t="str">
        <x:v>P2 — شبكات دلالية مركزية</x:v>
      </x:c>
      <x:c r="C251" s="60" t="str">
        <x:v>مُصَّدِّقَة</x:v>
      </x:c>
      <x:c r="D251" s="62" t="n">
        <x:v>1</x:v>
      </x:c>
      <x:c r="E251" s="60" t="str">
        <x:v>اسم</x:v>
      </x:c>
      <x:c r="F251" s="60" t="str">
        <x:v>N</x:v>
      </x:c>
      <x:c r="G251" s="60" t="str">
        <x:v>5</x:v>
      </x:c>
      <x:c r="H251" s="62" t="n">
        <x:v>1</x:v>
      </x:c>
      <x:c r="I251" s="60" t="str">
        <x:v>وَٱلْمُصَّدِّقَٰتِ</x:v>
      </x:c>
      <x:c r="J251" s="60" t="str">
        <x:v>57:18:3</x:v>
      </x:c>
      <x:c r="K251" s="60" t="str">
        <x:v>مرشح بنيوي؛ لا تُستنتج الدلالة من اللمة وحدها</x:v>
      </x:c>
      <x:c r="L251" s="60" t="str">
        <x:v>https://corpus.quran.com/qurandictionary.jsp?q=Sdq</x:v>
      </x:c>
    </x:row>
    <x:row r="252">
      <x:c r="A252" s="60" t="str">
        <x:v>غ ف ر</x:v>
      </x:c>
      <x:c r="B252" s="60" t="str">
        <x:v>P2 — شبكات دلالية مركزية</x:v>
      </x:c>
      <x:c r="C252" s="60" t="str">
        <x:v>غَفُور</x:v>
      </x:c>
      <x:c r="D252" s="62" t="n">
        <x:v>91</x:v>
      </x:c>
      <x:c r="E252" s="60" t="str">
        <x:v>اسم</x:v>
      </x:c>
      <x:c r="F252" s="60" t="str">
        <x:v>N</x:v>
      </x:c>
      <x:c r="G252" s="60" t="str">
        <x:v>—</x:v>
      </x:c>
      <x:c r="H252" s="62" t="n">
        <x:v>5</x:v>
      </x:c>
      <x:c r="I252" s="60" t="str">
        <x:v>غَفُورٌ، غَفُورًا، ٱلْغَفُورُ، لَغَفُورٌ، غَفُورٍ</x:v>
      </x:c>
      <x:c r="J252" s="60" t="str">
        <x:v>2:173:24؛ 2:182:15؛ 2:192:5؛ 2:199:11</x:v>
      </x:c>
      <x:c r="K252" s="60" t="str">
        <x:v>مرشح بنيوي؛ لا تُستنتج الدلالة من اللمة وحدها</x:v>
      </x:c>
      <x:c r="L252" s="60" t="str">
        <x:v>https://corpus.quran.com/qurandictionary.jsp?q=gfr</x:v>
      </x:c>
    </x:row>
    <x:row r="253">
      <x:c r="A253" s="60" t="str">
        <x:v>غ ف ر</x:v>
      </x:c>
      <x:c r="B253" s="60" t="str">
        <x:v>P2 — شبكات دلالية مركزية</x:v>
      </x:c>
      <x:c r="C253" s="60" t="str">
        <x:v>غَفَرَ</x:v>
      </x:c>
      <x:c r="D253" s="62" t="n">
        <x:v>65</x:v>
      </x:c>
      <x:c r="E253" s="60" t="str">
        <x:v>فعل</x:v>
      </x:c>
      <x:c r="F253" s="60" t="str">
        <x:v>V</x:v>
      </x:c>
      <x:c r="G253" s="60" t="str">
        <x:v>1</x:v>
      </x:c>
      <x:c r="H253" s="62" t="n">
        <x:v>23</x:v>
      </x:c>
      <x:c r="I253" s="60" t="str">
        <x:v>يَغْفِرُ، وَيَغْفِرْ، ٱغْفِرْ، فَٱغْفِرْ، يَغْفِرَ</x:v>
      </x:c>
      <x:c r="J253" s="60" t="str">
        <x:v>2:58:16؛ 2:284:18؛ 2:286:41؛ 3:16:6</x:v>
      </x:c>
      <x:c r="K253" s="60" t="str">
        <x:v>مرشح بنيوي؛ لا تُستنتج الدلالة من اللمة وحدها</x:v>
      </x:c>
      <x:c r="L253" s="60" t="str">
        <x:v>https://corpus.quran.com/qurandictionary.jsp?q=gfr</x:v>
      </x:c>
    </x:row>
    <x:row r="254">
      <x:c r="A254" s="60" t="str">
        <x:v>غ ف ر</x:v>
      </x:c>
      <x:c r="B254" s="60" t="str">
        <x:v>P2 — شبكات دلالية مركزية</x:v>
      </x:c>
      <x:c r="C254" s="60" t="str">
        <x:v>اسْتَغْفَرَ</x:v>
      </x:c>
      <x:c r="D254" s="62" t="n">
        <x:v>40</x:v>
      </x:c>
      <x:c r="E254" s="60" t="str">
        <x:v>فعل</x:v>
      </x:c>
      <x:c r="F254" s="60" t="str">
        <x:v>V</x:v>
      </x:c>
      <x:c r="G254" s="60" t="str">
        <x:v>10</x:v>
      </x:c>
      <x:c r="H254" s="62" t="n">
        <x:v>26</x:v>
      </x:c>
      <x:c r="I254" s="60" t="str">
        <x:v>وَٱسْتَغْفِرْ، وَٱسْتَغْفِرُوا۟، تَسْتَغْفِرْ، ٱسْتَغْفِرُوا۟، فَٱسْتَغْفَرُوا۟</x:v>
      </x:c>
      <x:c r="J254" s="60" t="str">
        <x:v>2:199:7؛ 3:135:10؛ 3:159:17؛ 4:64:15</x:v>
      </x:c>
      <x:c r="K254" s="60" t="str">
        <x:v>مرشح بنيوي؛ لا تُستنتج الدلالة من اللمة وحدها</x:v>
      </x:c>
      <x:c r="L254" s="60" t="str">
        <x:v>https://corpus.quran.com/qurandictionary.jsp?q=gfr</x:v>
      </x:c>
    </x:row>
    <x:row r="255">
      <x:c r="A255" s="60" t="str">
        <x:v>غ ف ر</x:v>
      </x:c>
      <x:c r="B255" s="60" t="str">
        <x:v>P2 — شبكات دلالية مركزية</x:v>
      </x:c>
      <x:c r="C255" s="60" t="str">
        <x:v>مَغْفِرَة</x:v>
      </x:c>
      <x:c r="D255" s="62" t="n">
        <x:v>28</x:v>
      </x:c>
      <x:c r="E255" s="60" t="str">
        <x:v>اسم</x:v>
      </x:c>
      <x:c r="F255" s="60" t="str">
        <x:v>N</x:v>
      </x:c>
      <x:c r="G255" s="60" t="str">
        <x:v>—</x:v>
      </x:c>
      <x:c r="H255" s="62" t="n">
        <x:v>10</x:v>
      </x:c>
      <x:c r="I255" s="60" t="str">
        <x:v>مَّغْفِرَةٌ، وَمَغْفِرَةٌ، مَغْفِرَةٍ، مَّغْفِرَةً، ٱلْمَغْفِرَةِ</x:v>
      </x:c>
      <x:c r="J255" s="60" t="str">
        <x:v>2:175:7؛ 2:221:33؛ 2:263:3؛ 2:268:8</x:v>
      </x:c>
      <x:c r="K255" s="60" t="str">
        <x:v>مرشح بنيوي؛ لا تُستنتج الدلالة من اللمة وحدها</x:v>
      </x:c>
      <x:c r="L255" s="60" t="str">
        <x:v>https://corpus.quran.com/qurandictionary.jsp?q=gfr</x:v>
      </x:c>
    </x:row>
    <x:row r="256">
      <x:c r="A256" s="60" t="str">
        <x:v>غ ف ر</x:v>
      </x:c>
      <x:c r="B256" s="60" t="str">
        <x:v>P2 — شبكات دلالية مركزية</x:v>
      </x:c>
      <x:c r="C256" s="60" t="str">
        <x:v>غَفّار</x:v>
      </x:c>
      <x:c r="D256" s="62" t="n">
        <x:v>5</x:v>
      </x:c>
      <x:c r="E256" s="60" t="str">
        <x:v>اسم</x:v>
      </x:c>
      <x:c r="F256" s="60" t="str">
        <x:v>N</x:v>
      </x:c>
      <x:c r="G256" s="60" t="str">
        <x:v>—</x:v>
      </x:c>
      <x:c r="H256" s="62" t="n">
        <x:v>4</x:v>
      </x:c>
      <x:c r="I256" s="60" t="str">
        <x:v>ٱلْغَفَّٰرُ، لَغَفَّارٌ، ٱلْغَفَّٰرِ، غَفَّارًا</x:v>
      </x:c>
      <x:c r="J256" s="60" t="str">
        <x:v>20:82:2؛ 38:66:7؛ 39:5:23؛ 40:42:15</x:v>
      </x:c>
      <x:c r="K256" s="60" t="str">
        <x:v>مرشح بنيوي؛ لا تُستنتج الدلالة من اللمة وحدها</x:v>
      </x:c>
      <x:c r="L256" s="60" t="str">
        <x:v>https://corpus.quran.com/qurandictionary.jsp?q=gfr</x:v>
      </x:c>
    </x:row>
    <x:row r="257">
      <x:c r="A257" s="60" t="str">
        <x:v>غ ف ر</x:v>
      </x:c>
      <x:c r="B257" s="60" t="str">
        <x:v>P2 — شبكات دلالية مركزية</x:v>
      </x:c>
      <x:c r="C257" s="60" t="str">
        <x:v>غافِر</x:v>
      </x:c>
      <x:c r="D257" s="62" t="n">
        <x:v>2</x:v>
      </x:c>
      <x:c r="E257" s="60" t="str">
        <x:v>اسم</x:v>
      </x:c>
      <x:c r="F257" s="60" t="str">
        <x:v>N</x:v>
      </x:c>
      <x:c r="G257" s="60" t="str">
        <x:v>1</x:v>
      </x:c>
      <x:c r="H257" s="62" t="n">
        <x:v>2</x:v>
      </x:c>
      <x:c r="I257" s="60" t="str">
        <x:v>ٱلْغَٰفِرِينَ، غَافِرِ</x:v>
      </x:c>
      <x:c r="J257" s="60" t="str">
        <x:v>7:155:41؛ 40:3:1</x:v>
      </x:c>
      <x:c r="K257" s="60" t="str">
        <x:v>مرشح بنيوي؛ لا تُستنتج الدلالة من اللمة وحدها</x:v>
      </x:c>
      <x:c r="L257" s="60" t="str">
        <x:v>https://corpus.quran.com/qurandictionary.jsp?q=gfr</x:v>
      </x:c>
    </x:row>
    <x:row r="258">
      <x:c r="A258" s="60" t="str">
        <x:v>غ ف ر</x:v>
      </x:c>
      <x:c r="B258" s="60" t="str">
        <x:v>P2 — شبكات دلالية مركزية</x:v>
      </x:c>
      <x:c r="C258" s="60" t="str">
        <x:v>اسْتِغْفار</x:v>
      </x:c>
      <x:c r="D258" s="62" t="n">
        <x:v>1</x:v>
      </x:c>
      <x:c r="E258" s="60" t="str">
        <x:v>اسم</x:v>
      </x:c>
      <x:c r="F258" s="60" t="str">
        <x:v>N</x:v>
      </x:c>
      <x:c r="G258" s="60" t="str">
        <x:v>10</x:v>
      </x:c>
      <x:c r="H258" s="62" t="n">
        <x:v>1</x:v>
      </x:c>
      <x:c r="I258" s="60" t="str">
        <x:v>ٱسْتِغْفَارُ</x:v>
      </x:c>
      <x:c r="J258" s="60" t="str">
        <x:v>9:114:3</x:v>
      </x:c>
      <x:c r="K258" s="60" t="str">
        <x:v>مرشح بنيوي؛ لا تُستنتج الدلالة من اللمة وحدها</x:v>
      </x:c>
      <x:c r="L258" s="60" t="str">
        <x:v>https://corpus.quran.com/qurandictionary.jsp?q=gfr</x:v>
      </x:c>
    </x:row>
    <x:row r="259">
      <x:c r="A259" s="60" t="str">
        <x:v>غ ف ر</x:v>
      </x:c>
      <x:c r="B259" s="60" t="str">
        <x:v>P2 — شبكات دلالية مركزية</x:v>
      </x:c>
      <x:c r="C259" s="60" t="str">
        <x:v>غُفْران</x:v>
      </x:c>
      <x:c r="D259" s="62" t="n">
        <x:v>1</x:v>
      </x:c>
      <x:c r="E259" s="60" t="str">
        <x:v>اسم</x:v>
      </x:c>
      <x:c r="F259" s="60" t="str">
        <x:v>N</x:v>
      </x:c>
      <x:c r="G259" s="60" t="str">
        <x:v>—</x:v>
      </x:c>
      <x:c r="H259" s="62" t="n">
        <x:v>1</x:v>
      </x:c>
      <x:c r="I259" s="60" t="str">
        <x:v>غُفْرَانَكَ</x:v>
      </x:c>
      <x:c r="J259" s="60" t="str">
        <x:v>2:285:24</x:v>
      </x:c>
      <x:c r="K259" s="60" t="str">
        <x:v>مرشح بنيوي؛ لا تُستنتج الدلالة من اللمة وحدها</x:v>
      </x:c>
      <x:c r="L259" s="60" t="str">
        <x:v>https://corpus.quran.com/qurandictionary.jsp?q=gfr</x:v>
      </x:c>
    </x:row>
    <x:row r="260">
      <x:c r="A260" s="60" t="str">
        <x:v>غ ف ر</x:v>
      </x:c>
      <x:c r="B260" s="60" t="str">
        <x:v>P2 — شبكات دلالية مركزية</x:v>
      </x:c>
      <x:c r="C260" s="60" t="str">
        <x:v>مُسْتَغْفِر</x:v>
      </x:c>
      <x:c r="D260" s="62" t="n">
        <x:v>1</x:v>
      </x:c>
      <x:c r="E260" s="60" t="str">
        <x:v>اسم</x:v>
      </x:c>
      <x:c r="F260" s="60" t="str">
        <x:v>N</x:v>
      </x:c>
      <x:c r="G260" s="60" t="str">
        <x:v>10</x:v>
      </x:c>
      <x:c r="H260" s="62" t="n">
        <x:v>1</x:v>
      </x:c>
      <x:c r="I260" s="60" t="str">
        <x:v>وَٱلْمُسْتَغْفِرِينَ</x:v>
      </x:c>
      <x:c r="J260" s="60" t="str">
        <x:v>3:17:5</x:v>
      </x:c>
      <x:c r="K260" s="60" t="str">
        <x:v>مرشح بنيوي؛ لا تُستنتج الدلالة من اللمة وحدها</x:v>
      </x:c>
      <x:c r="L260" s="60" t="str">
        <x:v>https://corpus.quran.com/qurandictionary.jsp?q=gfr</x:v>
      </x:c>
    </x:row>
    <x:row r="261">
      <x:c r="A261" s="60" t="str">
        <x:v>م و ت</x:v>
      </x:c>
      <x:c r="B261" s="60" t="str">
        <x:v>P2 — شبكات دلالية مركزية</x:v>
      </x:c>
      <x:c r="C261" s="60" t="str">
        <x:v>مَوْت</x:v>
      </x:c>
      <x:c r="D261" s="62" t="n">
        <x:v>50</x:v>
      </x:c>
      <x:c r="E261" s="60" t="str">
        <x:v>اسم</x:v>
      </x:c>
      <x:c r="F261" s="60" t="str">
        <x:v>N</x:v>
      </x:c>
      <x:c r="G261" s="60" t="str">
        <x:v>—</x:v>
      </x:c>
      <x:c r="H261" s="62" t="n">
        <x:v>9</x:v>
      </x:c>
      <x:c r="I261" s="60" t="str">
        <x:v>ٱلْمَوْتِ، ٱلْمَوْتُ، ٱلْمَوْتَ، مَوْتِهَا، مَوْتِهَآ</x:v>
      </x:c>
      <x:c r="J261" s="60" t="str">
        <x:v>2:19:16؛ 2:56:5؛ 2:94:14؛ 2:133:7</x:v>
      </x:c>
      <x:c r="K261" s="60" t="str">
        <x:v>مرشح بنيوي؛ لا تُستنتج الدلالة من اللمة وحدها</x:v>
      </x:c>
      <x:c r="L261" s="60" t="str">
        <x:v>https://corpus.quran.com/qurandictionary.jsp?q=mwt</x:v>
      </x:c>
    </x:row>
    <x:row r="262">
      <x:c r="A262" s="60" t="str">
        <x:v>م و ت</x:v>
      </x:c>
      <x:c r="B262" s="60" t="str">
        <x:v>P2 — شبكات دلالية مركزية</x:v>
      </x:c>
      <x:c r="C262" s="60" t="str">
        <x:v>ماتَ</x:v>
      </x:c>
      <x:c r="D262" s="62" t="n">
        <x:v>39</x:v>
      </x:c>
      <x:c r="E262" s="60" t="str">
        <x:v>فعل</x:v>
      </x:c>
      <x:c r="F262" s="60" t="str">
        <x:v>V</x:v>
      </x:c>
      <x:c r="G262" s="60" t="str">
        <x:v>1</x:v>
      </x:c>
      <x:c r="H262" s="62" t="n">
        <x:v>21</x:v>
      </x:c>
      <x:c r="I262" s="60" t="str">
        <x:v>يَمُوتُ، مِتْنَا، وَمَاتُوا۟، مَاتُوا۟، تَمُوتُنَّ</x:v>
      </x:c>
      <x:c r="J262" s="60" t="str">
        <x:v>2:132:13؛ 2:161:4؛ 2:217:43؛ 2:243:15</x:v>
      </x:c>
      <x:c r="K262" s="60" t="str">
        <x:v>مرشح بنيوي؛ لا تُستنتج الدلالة من اللمة وحدها</x:v>
      </x:c>
      <x:c r="L262" s="60" t="str">
        <x:v>https://corpus.quran.com/qurandictionary.jsp?q=mwt</x:v>
      </x:c>
    </x:row>
    <x:row r="263">
      <x:c r="A263" s="60" t="str">
        <x:v>م و ت</x:v>
      </x:c>
      <x:c r="B263" s="60" t="str">
        <x:v>P2 — شبكات دلالية مركزية</x:v>
      </x:c>
      <x:c r="C263" s="60" t="str">
        <x:v>مَيِّت</x:v>
      </x:c>
      <x:c r="D263" s="62" t="n">
        <x:v>38</x:v>
      </x:c>
      <x:c r="E263" s="60" t="str">
        <x:v>اسم</x:v>
      </x:c>
      <x:c r="F263" s="60" t="str">
        <x:v>N</x:v>
      </x:c>
      <x:c r="G263" s="60" t="str">
        <x:v>—</x:v>
      </x:c>
      <x:c r="H263" s="62" t="n">
        <x:v>17</x:v>
      </x:c>
      <x:c r="I263" s="60" t="str">
        <x:v>ٱلْمَوْتَىٰ، ٱلْمَيِّتِ، ٱلْمَيِّتَ، مَّيِّتٍ، أَمْوَٰتًا</x:v>
      </x:c>
      <x:c r="J263" s="60" t="str">
        <x:v>2:28:5؛ 2:73:7؛ 2:154:8؛ 2:260:8</x:v>
      </x:c>
      <x:c r="K263" s="60" t="str">
        <x:v>مرشح بنيوي؛ لا تُستنتج الدلالة من اللمة وحدها</x:v>
      </x:c>
      <x:c r="L263" s="60" t="str">
        <x:v>https://corpus.quran.com/qurandictionary.jsp?q=mwt</x:v>
      </x:c>
    </x:row>
    <x:row r="264">
      <x:c r="A264" s="60" t="str">
        <x:v>م و ت</x:v>
      </x:c>
      <x:c r="B264" s="60" t="str">
        <x:v>P2 — شبكات دلالية مركزية</x:v>
      </x:c>
      <x:c r="C264" s="60" t="str">
        <x:v>أَماتَ</x:v>
      </x:c>
      <x:c r="D264" s="62" t="n">
        <x:v>21</x:v>
      </x:c>
      <x:c r="E264" s="60" t="str">
        <x:v>فعل</x:v>
      </x:c>
      <x:c r="F264" s="60" t="str">
        <x:v>V</x:v>
      </x:c>
      <x:c r="G264" s="60" t="str">
        <x:v>4</x:v>
      </x:c>
      <x:c r="H264" s="62" t="n">
        <x:v>9</x:v>
      </x:c>
      <x:c r="I264" s="60" t="str">
        <x:v>وَيُمِيتُ، يُمِيتُكُمْ، وَنُمِيتُ، وَأُمِيتُ، فَأَمَاتَهُ</x:v>
      </x:c>
      <x:c r="J264" s="60" t="str">
        <x:v>2:28:8؛ 2:258:19؛ 2:258:23؛ 2:259:17</x:v>
      </x:c>
      <x:c r="K264" s="60" t="str">
        <x:v>مرشح بنيوي؛ لا تُستنتج الدلالة من اللمة وحدها</x:v>
      </x:c>
      <x:c r="L264" s="60" t="str">
        <x:v>https://corpus.quran.com/qurandictionary.jsp?q=mwt</x:v>
      </x:c>
    </x:row>
    <x:row r="265">
      <x:c r="A265" s="60" t="str">
        <x:v>م و ت</x:v>
      </x:c>
      <x:c r="B265" s="60" t="str">
        <x:v>P2 — شبكات دلالية مركزية</x:v>
      </x:c>
      <x:c r="C265" s="60" t="str">
        <x:v>مَيْتَة</x:v>
      </x:c>
      <x:c r="D265" s="62" t="n">
        <x:v>6</x:v>
      </x:c>
      <x:c r="E265" s="60" t="str">
        <x:v>اسم</x:v>
      </x:c>
      <x:c r="F265" s="60" t="str">
        <x:v>N</x:v>
      </x:c>
      <x:c r="G265" s="60" t="str">
        <x:v>—</x:v>
      </x:c>
      <x:c r="H265" s="62" t="n">
        <x:v>4</x:v>
      </x:c>
      <x:c r="I265" s="60" t="str">
        <x:v>ٱلْمَيْتَةَ، ٱلْمَيْتَةُ، مَّيْتَةً، مَيْتَةً</x:v>
      </x:c>
      <x:c r="J265" s="60" t="str">
        <x:v>2:173:4؛ 5:3:3؛ 6:139:14؛ 6:145:15</x:v>
      </x:c>
      <x:c r="K265" s="60" t="str">
        <x:v>مرشح بنيوي؛ لا تُستنتج الدلالة من اللمة وحدها</x:v>
      </x:c>
      <x:c r="L265" s="60" t="str">
        <x:v>https://corpus.quran.com/qurandictionary.jsp?q=mwt</x:v>
      </x:c>
    </x:row>
    <x:row r="266">
      <x:c r="A266" s="60" t="str">
        <x:v>م و ت</x:v>
      </x:c>
      <x:c r="B266" s="60" t="str">
        <x:v>P2 — شبكات دلالية مركزية</x:v>
      </x:c>
      <x:c r="C266" s="60" t="str">
        <x:v>مَيْت</x:v>
      </x:c>
      <x:c r="D266" s="62" t="n">
        <x:v>5</x:v>
      </x:c>
      <x:c r="E266" s="60" t="str">
        <x:v>اسم</x:v>
      </x:c>
      <x:c r="F266" s="60" t="str">
        <x:v>N</x:v>
      </x:c>
      <x:c r="G266" s="60" t="str">
        <x:v>—</x:v>
      </x:c>
      <x:c r="H266" s="62" t="n">
        <x:v>2</x:v>
      </x:c>
      <x:c r="I266" s="60" t="str">
        <x:v>مَّيْتًا، مَيْتًا</x:v>
      </x:c>
      <x:c r="J266" s="60" t="str">
        <x:v>6:122:3؛ 25:49:4؛ 43:11:10؛ 49:12:24</x:v>
      </x:c>
      <x:c r="K266" s="60" t="str">
        <x:v>مرشح بنيوي؛ لا تُستنتج الدلالة من اللمة وحدها</x:v>
      </x:c>
      <x:c r="L266" s="60" t="str">
        <x:v>https://corpus.quran.com/qurandictionary.jsp?q=mwt</x:v>
      </x:c>
    </x:row>
    <x:row r="267">
      <x:c r="A267" s="60" t="str">
        <x:v>م و ت</x:v>
      </x:c>
      <x:c r="B267" s="60" t="str">
        <x:v>P2 — شبكات دلالية مركزية</x:v>
      </x:c>
      <x:c r="C267" s="60" t="str">
        <x:v>مَمات</x:v>
      </x:c>
      <x:c r="D267" s="62" t="n">
        <x:v>3</x:v>
      </x:c>
      <x:c r="E267" s="60" t="str">
        <x:v>اسم</x:v>
      </x:c>
      <x:c r="F267" s="60" t="str">
        <x:v>N</x:v>
      </x:c>
      <x:c r="G267" s="60" t="str">
        <x:v>—</x:v>
      </x:c>
      <x:c r="H267" s="62" t="n">
        <x:v>3</x:v>
      </x:c>
      <x:c r="I267" s="60" t="str">
        <x:v>وَمَمَاتِى، ٱلْمَمَاتِ، وَمَمَاتُهُمْ</x:v>
      </x:c>
      <x:c r="J267" s="60" t="str">
        <x:v>6:162:6؛ 17:75:6؛ 45:21:14</x:v>
      </x:c>
      <x:c r="K267" s="60" t="str">
        <x:v>مرشح بنيوي؛ لا تُستنتج الدلالة من اللمة وحدها</x:v>
      </x:c>
      <x:c r="L267" s="60" t="str">
        <x:v>https://corpus.quran.com/qurandictionary.jsp?q=mwt</x:v>
      </x:c>
    </x:row>
    <x:row r="268">
      <x:c r="A268" s="60" t="str">
        <x:v>م و ت</x:v>
      </x:c>
      <x:c r="B268" s="60" t="str">
        <x:v>P2 — شبكات دلالية مركزية</x:v>
      </x:c>
      <x:c r="C268" s="60" t="str">
        <x:v>مَوْتَت</x:v>
      </x:c>
      <x:c r="D268" s="62" t="n">
        <x:v>3</x:v>
      </x:c>
      <x:c r="E268" s="60" t="str">
        <x:v>اسم</x:v>
      </x:c>
      <x:c r="F268" s="60" t="str">
        <x:v>N</x:v>
      </x:c>
      <x:c r="G268" s="60" t="str">
        <x:v>—</x:v>
      </x:c>
      <x:c r="H268" s="62" t="n">
        <x:v>3</x:v>
      </x:c>
      <x:c r="I268" s="60" t="str">
        <x:v>مَوْتَتَنَا، مَوْتَتُنَا، ٱلْمَوْتَةَ</x:v>
      </x:c>
      <x:c r="J268" s="60" t="str">
        <x:v>37:59:2؛ 44:35:4؛ 44:56:6</x:v>
      </x:c>
      <x:c r="K268" s="60" t="str">
        <x:v>مرشح بنيوي؛ لا تُستنتج الدلالة من اللمة وحدها</x:v>
      </x:c>
      <x:c r="L268" s="60" t="str">
        <x:v>https://corpus.quran.com/qurandictionary.jsp?q=mwt</x:v>
      </x:c>
    </x:row>
    <x:row r="269">
      <x:c r="A269" s="60" t="str">
        <x:v>ش ه د</x:v>
      </x:c>
      <x:c r="B269" s="60" t="str">
        <x:v>P2 — شبكات دلالية مركزية</x:v>
      </x:c>
      <x:c r="C269" s="60" t="str">
        <x:v>شَهِيد</x:v>
      </x:c>
      <x:c r="D269" s="62" t="n">
        <x:v>56</x:v>
      </x:c>
      <x:c r="E269" s="60" t="str">
        <x:v>اسم</x:v>
      </x:c>
      <x:c r="F269" s="60" t="str">
        <x:v>N</x:v>
      </x:c>
      <x:c r="G269" s="60" t="str">
        <x:v>—</x:v>
      </x:c>
      <x:c r="H269" s="62" t="n">
        <x:v>18</x:v>
      </x:c>
      <x:c r="I269" s="60" t="str">
        <x:v>شَهِيدًا، شُهَدَآءَ، شَهِيدٌ، شَهِيدًۢا، شُهَدَآءُ</x:v>
      </x:c>
      <x:c r="J269" s="60" t="str">
        <x:v>2:23:14؛ 2:133:3؛ 2:143:6؛ 2:143:12</x:v>
      </x:c>
      <x:c r="K269" s="60" t="str">
        <x:v>مرشح بنيوي؛ لا تُستنتج الدلالة من اللمة وحدها</x:v>
      </x:c>
      <x:c r="L269" s="60" t="str">
        <x:v>https://corpus.quran.com/qurandictionary.jsp?q=%24hd</x:v>
      </x:c>
    </x:row>
    <x:row r="270">
      <x:c r="A270" s="60" t="str">
        <x:v>ش ه د</x:v>
      </x:c>
      <x:c r="B270" s="60" t="str">
        <x:v>P2 — شبكات دلالية مركزية</x:v>
      </x:c>
      <x:c r="C270" s="60" t="str">
        <x:v>شَهِدَ</x:v>
      </x:c>
      <x:c r="D270" s="62" t="n">
        <x:v>44</x:v>
      </x:c>
      <x:c r="E270" s="60" t="str">
        <x:v>فعل</x:v>
      </x:c>
      <x:c r="F270" s="60" t="str">
        <x:v>V</x:v>
      </x:c>
      <x:c r="G270" s="60" t="str">
        <x:v>1</x:v>
      </x:c>
      <x:c r="H270" s="62" t="n">
        <x:v>28</x:v>
      </x:c>
      <x:c r="I270" s="60" t="str">
        <x:v>شَهِدَ، يَشْهَدُ، يَشْهَدُونَ، تَشْهَدُونَ، وَٱشْهَدْ</x:v>
      </x:c>
      <x:c r="J270" s="60" t="str">
        <x:v>2:84:15؛ 2:185:14؛ 3:18:1؛ 3:52:18</x:v>
      </x:c>
      <x:c r="K270" s="60" t="str">
        <x:v>مرشح بنيوي؛ لا تُستنتج الدلالة من اللمة وحدها</x:v>
      </x:c>
      <x:c r="L270" s="60" t="str">
        <x:v>https://corpus.quran.com/qurandictionary.jsp?q=%24hd</x:v>
      </x:c>
    </x:row>
    <x:row r="271">
      <x:c r="A271" s="60" t="str">
        <x:v>ش ه د</x:v>
      </x:c>
      <x:c r="B271" s="60" t="str">
        <x:v>P2 — شبكات دلالية مركزية</x:v>
      </x:c>
      <x:c r="C271" s="60" t="str">
        <x:v>شَهادَة</x:v>
      </x:c>
      <x:c r="D271" s="62" t="n">
        <x:v>26</x:v>
      </x:c>
      <x:c r="E271" s="60" t="str">
        <x:v>اسم</x:v>
      </x:c>
      <x:c r="F271" s="60" t="str">
        <x:v>N</x:v>
      </x:c>
      <x:c r="G271" s="60" t="str">
        <x:v>—</x:v>
      </x:c>
      <x:c r="H271" s="62" t="n">
        <x:v>13</x:v>
      </x:c>
      <x:c r="I271" s="60" t="str">
        <x:v>وَٱلشَّهَٰدَةِ، شَهَٰدَةً، ٱلشَّهَٰدَةَ، شَهَٰدَٰتٍۭ، لِلشَّهَٰدَةِ</x:v>
      </x:c>
      <x:c r="J271" s="60" t="str">
        <x:v>2:140:22؛ 2:282:92؛ 2:283:23؛ 5:106:4</x:v>
      </x:c>
      <x:c r="K271" s="60" t="str">
        <x:v>مرشح بنيوي؛ لا تُستنتج الدلالة من اللمة وحدها</x:v>
      </x:c>
      <x:c r="L271" s="60" t="str">
        <x:v>https://corpus.quran.com/qurandictionary.jsp?q=%24hd</x:v>
      </x:c>
    </x:row>
    <x:row r="272">
      <x:c r="A272" s="60" t="str">
        <x:v>ش ه د</x:v>
      </x:c>
      <x:c r="B272" s="60" t="str">
        <x:v>P2 — شبكات دلالية مركزية</x:v>
      </x:c>
      <x:c r="C272" s="60" t="str">
        <x:v>شاهِد</x:v>
      </x:c>
      <x:c r="D272" s="62" t="n">
        <x:v>21</x:v>
      </x:c>
      <x:c r="E272" s="60" t="str">
        <x:v>اسم</x:v>
      </x:c>
      <x:c r="F272" s="60" t="str">
        <x:v>N</x:v>
      </x:c>
      <x:c r="G272" s="60" t="str">
        <x:v>1</x:v>
      </x:c>
      <x:c r="H272" s="62" t="n">
        <x:v>9</x:v>
      </x:c>
      <x:c r="I272" s="60" t="str">
        <x:v>ٱلشَّٰهِدِينَ، شَاهِدٌ، شَٰهِدًا، شَٰهِدِينَ، شُهُودًا</x:v>
      </x:c>
      <x:c r="J272" s="60" t="str">
        <x:v>3:53:9؛ 3:81:33؛ 5:83:21؛ 5:113:15</x:v>
      </x:c>
      <x:c r="K272" s="60" t="str">
        <x:v>مرشح بنيوي؛ لا تُستنتج الدلالة من اللمة وحدها</x:v>
      </x:c>
      <x:c r="L272" s="60" t="str">
        <x:v>https://corpus.quran.com/qurandictionary.jsp?q=%24hd</x:v>
      </x:c>
    </x:row>
    <x:row r="273">
      <x:c r="A273" s="60" t="str">
        <x:v>ش ه د</x:v>
      </x:c>
      <x:c r="B273" s="60" t="str">
        <x:v>P2 — شبكات دلالية مركزية</x:v>
      </x:c>
      <x:c r="C273" s="60" t="str">
        <x:v>أَشْهَدَ</x:v>
      </x:c>
      <x:c r="D273" s="62" t="n">
        <x:v>7</x:v>
      </x:c>
      <x:c r="E273" s="60" t="str">
        <x:v>فعل</x:v>
      </x:c>
      <x:c r="F273" s="60" t="str">
        <x:v>V</x:v>
      </x:c>
      <x:c r="G273" s="60" t="str">
        <x:v>4</x:v>
      </x:c>
      <x:c r="H273" s="62" t="n">
        <x:v>7</x:v>
      </x:c>
      <x:c r="I273" s="60" t="str">
        <x:v>وَيُشْهِدُ، وَأَشْهِدُوٓا۟، فَأَشْهِدُوا۟، وَأَشْهَدَهُمْ، أُشْهِدُ</x:v>
      </x:c>
      <x:c r="J273" s="60" t="str">
        <x:v>2:204:9؛ 2:282:108؛ 4:6:33؛ 7:172:10</x:v>
      </x:c>
      <x:c r="K273" s="60" t="str">
        <x:v>مرشح بنيوي؛ لا تُستنتج الدلالة من اللمة وحدها</x:v>
      </x:c>
      <x:c r="L273" s="60" t="str">
        <x:v>https://corpus.quran.com/qurandictionary.jsp?q=%24hd</x:v>
      </x:c>
    </x:row>
    <x:row r="274">
      <x:c r="A274" s="60" t="str">
        <x:v>ش ه د</x:v>
      </x:c>
      <x:c r="B274" s="60" t="str">
        <x:v>P2 — شبكات دلالية مركزية</x:v>
      </x:c>
      <x:c r="C274" s="60" t="str">
        <x:v>مَشْهُود</x:v>
      </x:c>
      <x:c r="D274" s="62" t="n">
        <x:v>3</x:v>
      </x:c>
      <x:c r="E274" s="60" t="str">
        <x:v>اسم</x:v>
      </x:c>
      <x:c r="F274" s="60" t="str">
        <x:v>N</x:v>
      </x:c>
      <x:c r="G274" s="60" t="str">
        <x:v>1</x:v>
      </x:c>
      <x:c r="H274" s="62" t="n">
        <x:v>3</x:v>
      </x:c>
      <x:c r="I274" s="60" t="str">
        <x:v>مَّشْهُودٌ، مَشْهُودًا، وَمَشْهُودٍ</x:v>
      </x:c>
      <x:c r="J274" s="60" t="str">
        <x:v>11:103:16؛ 17:78:14؛ 85:3:2</x:v>
      </x:c>
      <x:c r="K274" s="60" t="str">
        <x:v>مرشح بنيوي؛ لا تُستنتج الدلالة من اللمة وحدها</x:v>
      </x:c>
      <x:c r="L274" s="60" t="str">
        <x:v>https://corpus.quran.com/qurandictionary.jsp?q=%24hd</x:v>
      </x:c>
    </x:row>
    <x:row r="275">
      <x:c r="A275" s="60" t="str">
        <x:v>ش ه د</x:v>
      </x:c>
      <x:c r="B275" s="60" t="str">
        <x:v>P2 — شبكات دلالية مركزية</x:v>
      </x:c>
      <x:c r="C275" s="60" t="str">
        <x:v>اسْتَشْهِدُ</x:v>
      </x:c>
      <x:c r="D275" s="62" t="n">
        <x:v>2</x:v>
      </x:c>
      <x:c r="E275" s="60" t="str">
        <x:v>فعل</x:v>
      </x:c>
      <x:c r="F275" s="60" t="str">
        <x:v>V</x:v>
      </x:c>
      <x:c r="G275" s="60" t="str">
        <x:v>10</x:v>
      </x:c>
      <x:c r="H275" s="62" t="n">
        <x:v>2</x:v>
      </x:c>
      <x:c r="I275" s="60" t="str">
        <x:v>وَٱسْتَشْهِدُوا۟، فَٱسْتَشْهِدُوا۟</x:v>
      </x:c>
      <x:c r="J275" s="60" t="str">
        <x:v>2:282:52؛ 4:15:6</x:v>
      </x:c>
      <x:c r="K275" s="60" t="str">
        <x:v>مرشح بنيوي؛ لا تُستنتج الدلالة من اللمة وحدها</x:v>
      </x:c>
      <x:c r="L275" s="60" t="str">
        <x:v>https://corpus.quran.com/qurandictionary.jsp?q=%24hd</x:v>
      </x:c>
    </x:row>
    <x:row r="276">
      <x:c r="A276" s="60" t="str">
        <x:v>ش ه د</x:v>
      </x:c>
      <x:c r="B276" s="60" t="str">
        <x:v>P2 — شبكات دلالية مركزية</x:v>
      </x:c>
      <x:c r="C276" s="60" t="str">
        <x:v>مَشْهَد</x:v>
      </x:c>
      <x:c r="D276" s="62" t="n">
        <x:v>1</x:v>
      </x:c>
      <x:c r="E276" s="60" t="str">
        <x:v>اسم</x:v>
      </x:c>
      <x:c r="F276" s="60" t="str">
        <x:v>N</x:v>
      </x:c>
      <x:c r="G276" s="60" t="str">
        <x:v>—</x:v>
      </x:c>
      <x:c r="H276" s="62" t="n">
        <x:v>1</x:v>
      </x:c>
      <x:c r="I276" s="60" t="str">
        <x:v>مَّشْهَدِ</x:v>
      </x:c>
      <x:c r="J276" s="60" t="str">
        <x:v>19:37:9</x:v>
      </x:c>
      <x:c r="K276" s="60" t="str">
        <x:v>مرشح بنيوي؛ لا تُستنتج الدلالة من اللمة وحدها</x:v>
      </x:c>
      <x:c r="L276" s="60" t="str">
        <x:v>https://corpus.quran.com/qurandictionary.jsp?q=%24hd</x:v>
      </x:c>
    </x:row>
    <x:row r="277">
      <x:c r="A277" s="60" t="str">
        <x:v>ح ب ب</x:v>
      </x:c>
      <x:c r="B277" s="60" t="str">
        <x:v>P2 — شبكات دلالية مركزية</x:v>
      </x:c>
      <x:c r="C277" s="60" t="str">
        <x:v>أَحْبَبْ</x:v>
      </x:c>
      <x:c r="D277" s="62" t="n">
        <x:v>64</x:v>
      </x:c>
      <x:c r="E277" s="60" t="str">
        <x:v>فعل</x:v>
      </x:c>
      <x:c r="F277" s="60" t="str">
        <x:v>V</x:v>
      </x:c>
      <x:c r="G277" s="60" t="str">
        <x:v>4</x:v>
      </x:c>
      <x:c r="H277" s="62" t="n">
        <x:v>18</x:v>
      </x:c>
      <x:c r="I277" s="60" t="str">
        <x:v>يُحِبُّ، تُحِبُّونَ، يُحِبُّونَ، يُحِبُّونَهُمْ، تُحِبُّوا۟</x:v>
      </x:c>
      <x:c r="J277" s="60" t="str">
        <x:v>2:165:9؛ 2:190:12؛ 2:195:13؛ 2:205:13</x:v>
      </x:c>
      <x:c r="K277" s="60" t="str">
        <x:v>مرشح بنيوي؛ لا تُستنتج الدلالة من اللمة وحدها</x:v>
      </x:c>
      <x:c r="L277" s="60" t="str">
        <x:v>https://corpus.quran.com/qurandictionary.jsp?q=Hbb</x:v>
      </x:c>
    </x:row>
    <x:row r="278">
      <x:c r="A278" s="60" t="str">
        <x:v>ح ب ب</x:v>
      </x:c>
      <x:c r="B278" s="60" t="str">
        <x:v>P2 — شبكات دلالية مركزية</x:v>
      </x:c>
      <x:c r="C278" s="60" t="str">
        <x:v>حُبّ</x:v>
      </x:c>
      <x:c r="D278" s="62" t="n">
        <x:v>9</x:v>
      </x:c>
      <x:c r="E278" s="60" t="str">
        <x:v>اسم</x:v>
      </x:c>
      <x:c r="F278" s="60" t="str">
        <x:v>N</x:v>
      </x:c>
      <x:c r="G278" s="60" t="str">
        <x:v>—</x:v>
      </x:c>
      <x:c r="H278" s="62" t="n">
        <x:v>6</x:v>
      </x:c>
      <x:c r="I278" s="60" t="str">
        <x:v>حُبًّا، حُبِّهِۦ، كَحُبِّ، حُبُّ، حُبَّ</x:v>
      </x:c>
      <x:c r="J278" s="60" t="str">
        <x:v>2:165:10؛ 2:165:15؛ 2:177:22؛ 3:14:3</x:v>
      </x:c>
      <x:c r="K278" s="60" t="str">
        <x:v>مرشح بنيوي؛ لا تُستنتج الدلالة من اللمة وحدها</x:v>
      </x:c>
      <x:c r="L278" s="60" t="str">
        <x:v>https://corpus.quran.com/qurandictionary.jsp?q=Hbb</x:v>
      </x:c>
    </x:row>
    <x:row r="279">
      <x:c r="A279" s="60" t="str">
        <x:v>ح ب ب</x:v>
      </x:c>
      <x:c r="B279" s="60" t="str">
        <x:v>P2 — شبكات دلالية مركزية</x:v>
      </x:c>
      <x:c r="C279" s="60" t="str">
        <x:v>حَبّ</x:v>
      </x:c>
      <x:c r="D279" s="62" t="n">
        <x:v>7</x:v>
      </x:c>
      <x:c r="E279" s="60" t="str">
        <x:v>اسم</x:v>
      </x:c>
      <x:c r="F279" s="60" t="str">
        <x:v>N</x:v>
      </x:c>
      <x:c r="G279" s="60" t="str">
        <x:v>—</x:v>
      </x:c>
      <x:c r="H279" s="62" t="n">
        <x:v>4</x:v>
      </x:c>
      <x:c r="I279" s="60" t="str">
        <x:v>حَبًّا، ٱلْحَبِّ، وَحَبَّ، وَٱلْحَبُّ</x:v>
      </x:c>
      <x:c r="J279" s="60" t="str">
        <x:v>6:95:4؛ 6:99:17؛ 36:33:8؛ 50:9:9</x:v>
      </x:c>
      <x:c r="K279" s="60" t="str">
        <x:v>مرشح بنيوي؛ لا تُستنتج الدلالة من اللمة وحدها</x:v>
      </x:c>
      <x:c r="L279" s="60" t="str">
        <x:v>https://corpus.quran.com/qurandictionary.jsp?q=Hbb</x:v>
      </x:c>
    </x:row>
    <x:row r="280">
      <x:c r="A280" s="60" t="str">
        <x:v>ح ب ب</x:v>
      </x:c>
      <x:c r="B280" s="60" t="str">
        <x:v>P2 — شبكات دلالية مركزية</x:v>
      </x:c>
      <x:c r="C280" s="60" t="str">
        <x:v>حَبَّة</x:v>
      </x:c>
      <x:c r="D280" s="62" t="n">
        <x:v>5</x:v>
      </x:c>
      <x:c r="E280" s="60" t="str">
        <x:v>اسم</x:v>
      </x:c>
      <x:c r="F280" s="60" t="str">
        <x:v>N</x:v>
      </x:c>
      <x:c r="G280" s="60" t="str">
        <x:v>—</x:v>
      </x:c>
      <x:c r="H280" s="62" t="n">
        <x:v>1</x:v>
      </x:c>
      <x:c r="I280" s="60" t="str">
        <x:v>حَبَّةٍ</x:v>
      </x:c>
      <x:c r="J280" s="60" t="str">
        <x:v>2:261:9؛ 2:261:17؛ 6:59:20؛ 21:47:13</x:v>
      </x:c>
      <x:c r="K280" s="60" t="str">
        <x:v>مرشح بنيوي؛ لا تُستنتج الدلالة من اللمة وحدها</x:v>
      </x:c>
      <x:c r="L280" s="60" t="str">
        <x:v>https://corpus.quran.com/qurandictionary.jsp?q=Hbb</x:v>
      </x:c>
    </x:row>
    <x:row r="281">
      <x:c r="A281" s="60" t="str">
        <x:v>ح ب ب</x:v>
      </x:c>
      <x:c r="B281" s="60" t="str">
        <x:v>P2 — شبكات دلالية مركزية</x:v>
      </x:c>
      <x:c r="C281" s="60" t="str">
        <x:v>اسْتَحَبُّ</x:v>
      </x:c>
      <x:c r="D281" s="62" t="n">
        <x:v>4</x:v>
      </x:c>
      <x:c r="E281" s="60" t="str">
        <x:v>فعل</x:v>
      </x:c>
      <x:c r="F281" s="60" t="str">
        <x:v>V</x:v>
      </x:c>
      <x:c r="G281" s="60" t="str">
        <x:v>10</x:v>
      </x:c>
      <x:c r="H281" s="62" t="n">
        <x:v>3</x:v>
      </x:c>
      <x:c r="I281" s="60" t="str">
        <x:v>ٱسْتَحَبُّوا۟، يَسْتَحِبُّونَ، فَٱسْتَحَبُّوا۟</x:v>
      </x:c>
      <x:c r="J281" s="60" t="str">
        <x:v>9:23:10؛ 14:3:2؛ 16:107:3؛ 41:17:4</x:v>
      </x:c>
      <x:c r="K281" s="60" t="str">
        <x:v>مرشح بنيوي؛ لا تُستنتج الدلالة من اللمة وحدها</x:v>
      </x:c>
      <x:c r="L281" s="60" t="str">
        <x:v>https://corpus.quran.com/qurandictionary.jsp?q=Hbb</x:v>
      </x:c>
    </x:row>
    <x:row r="282">
      <x:c r="A282" s="60" t="str">
        <x:v>ح ب ب</x:v>
      </x:c>
      <x:c r="B282" s="60" t="str">
        <x:v>P2 — شبكات دلالية مركزية</x:v>
      </x:c>
      <x:c r="C282" s="60" t="str">
        <x:v>أَحَبّ</x:v>
      </x:c>
      <x:c r="D282" s="62" t="n">
        <x:v>3</x:v>
      </x:c>
      <x:c r="E282" s="60" t="str">
        <x:v>اسم</x:v>
      </x:c>
      <x:c r="F282" s="60" t="str">
        <x:v>N</x:v>
      </x:c>
      <x:c r="G282" s="60" t="str">
        <x:v>—</x:v>
      </x:c>
      <x:c r="H282" s="62" t="n">
        <x:v>2</x:v>
      </x:c>
      <x:c r="I282" s="60" t="str">
        <x:v>أَحَبُّ، أَحَبَّ</x:v>
      </x:c>
      <x:c r="J282" s="60" t="str">
        <x:v>9:24:16؛ 12:8:5؛ 12:33:4</x:v>
      </x:c>
      <x:c r="K282" s="60" t="str">
        <x:v>مرشح بنيوي؛ لا تُستنتج الدلالة من اللمة وحدها</x:v>
      </x:c>
      <x:c r="L282" s="60" t="str">
        <x:v>https://corpus.quran.com/qurandictionary.jsp?q=Hbb</x:v>
      </x:c>
    </x:row>
    <x:row r="283">
      <x:c r="A283" s="60" t="str">
        <x:v>ح ب ب</x:v>
      </x:c>
      <x:c r="B283" s="60" t="str">
        <x:v>P2 — شبكات دلالية مركزية</x:v>
      </x:c>
      <x:c r="C283" s="60" t="str">
        <x:v>أَحِبّاؤ</x:v>
      </x:c>
      <x:c r="D283" s="62" t="n">
        <x:v>1</x:v>
      </x:c>
      <x:c r="E283" s="60" t="str">
        <x:v>اسم</x:v>
      </x:c>
      <x:c r="F283" s="60" t="str">
        <x:v>N</x:v>
      </x:c>
      <x:c r="G283" s="60" t="str">
        <x:v>—</x:v>
      </x:c>
      <x:c r="H283" s="62" t="n">
        <x:v>1</x:v>
      </x:c>
      <x:c r="I283" s="60" t="str">
        <x:v>وَأَحِبَّٰٓؤُهُۥ</x:v>
      </x:c>
      <x:c r="J283" s="60" t="str">
        <x:v>5:18:7</x:v>
      </x:c>
      <x:c r="K283" s="60" t="str">
        <x:v>مرشح بنيوي؛ لا تُستنتج الدلالة من اللمة وحدها</x:v>
      </x:c>
      <x:c r="L283" s="60" t="str">
        <x:v>https://corpus.quran.com/qurandictionary.jsp?q=Hbb</x:v>
      </x:c>
    </x:row>
    <x:row r="284">
      <x:c r="A284" s="60" t="str">
        <x:v>ح ب ب</x:v>
      </x:c>
      <x:c r="B284" s="60" t="str">
        <x:v>P2 — شبكات دلالية مركزية</x:v>
      </x:c>
      <x:c r="C284" s="60" t="str">
        <x:v>حَبَّبَ</x:v>
      </x:c>
      <x:c r="D284" s="62" t="n">
        <x:v>1</x:v>
      </x:c>
      <x:c r="E284" s="60" t="str">
        <x:v>فعل</x:v>
      </x:c>
      <x:c r="F284" s="60" t="str">
        <x:v>V</x:v>
      </x:c>
      <x:c r="G284" s="60" t="str">
        <x:v>2</x:v>
      </x:c>
      <x:c r="H284" s="62" t="n">
        <x:v>1</x:v>
      </x:c>
      <x:c r="I284" s="60" t="str">
        <x:v>حَبَّبَ</x:v>
      </x:c>
      <x:c r="J284" s="60" t="str">
        <x:v>49:7:15</x:v>
      </x:c>
      <x:c r="K284" s="60" t="str">
        <x:v>مرشح بنيوي؛ لا تُستنتج الدلالة من اللمة وحدها</x:v>
      </x:c>
      <x:c r="L284" s="60" t="str">
        <x:v>https://corpus.quran.com/qurandictionary.jsp?q=Hbb</x:v>
      </x:c>
    </x:row>
    <x:row r="285">
      <x:c r="A285" s="60" t="str">
        <x:v>ح ب ب</x:v>
      </x:c>
      <x:c r="B285" s="60" t="str">
        <x:v>P2 — شبكات دلالية مركزية</x:v>
      </x:c>
      <x:c r="C285" s="60" t="str">
        <x:v>مَحَبَّة</x:v>
      </x:c>
      <x:c r="D285" s="62" t="n">
        <x:v>1</x:v>
      </x:c>
      <x:c r="E285" s="60" t="str">
        <x:v>اسم</x:v>
      </x:c>
      <x:c r="F285" s="60" t="str">
        <x:v>N</x:v>
      </x:c>
      <x:c r="G285" s="60" t="str">
        <x:v>—</x:v>
      </x:c>
      <x:c r="H285" s="62" t="n">
        <x:v>1</x:v>
      </x:c>
      <x:c r="I285" s="60" t="str">
        <x:v>مَحَبَّةً</x:v>
      </x:c>
      <x:c r="J285" s="60" t="str">
        <x:v>20:39:18</x:v>
      </x:c>
      <x:c r="K285" s="60" t="str">
        <x:v>مرشح بنيوي؛ لا تُستنتج الدلالة من اللمة وحدها</x:v>
      </x:c>
      <x:c r="L285" s="60" t="str">
        <x:v>https://corpus.quran.com/qurandictionary.jsp?q=Hbb</x:v>
      </x:c>
    </x:row>
    <x:row r="286">
      <x:c r="A286" s="60" t="str">
        <x:v>ت و ب</x:v>
      </x:c>
      <x:c r="B286" s="60" t="str">
        <x:v>P2 — شبكات دلالية مركزية</x:v>
      </x:c>
      <x:c r="C286" s="60" t="str">
        <x:v>تابَ</x:v>
      </x:c>
      <x:c r="D286" s="62" t="n">
        <x:v>63</x:v>
      </x:c>
      <x:c r="E286" s="60" t="str">
        <x:v>فعل</x:v>
      </x:c>
      <x:c r="F286" s="60" t="str">
        <x:v>V</x:v>
      </x:c>
      <x:c r="G286" s="60" t="str">
        <x:v>1</x:v>
      </x:c>
      <x:c r="H286" s="62" t="n">
        <x:v>22</x:v>
      </x:c>
      <x:c r="I286" s="60" t="str">
        <x:v>تَابَ، تَابُوا۟، فَتَابَ، يَتُوبُ، تُوبُوٓا۟</x:v>
      </x:c>
      <x:c r="J286" s="60" t="str">
        <x:v>2:37:6؛ 2:54:11؛ 2:54:21؛ 2:128:12</x:v>
      </x:c>
      <x:c r="K286" s="60" t="str">
        <x:v>مرشح بنيوي؛ لا تُستنتج الدلالة من اللمة وحدها</x:v>
      </x:c>
      <x:c r="L286" s="60" t="str">
        <x:v>https://corpus.quran.com/qurandictionary.jsp?q=twb</x:v>
      </x:c>
    </x:row>
    <x:row r="287">
      <x:c r="A287" s="60" t="str">
        <x:v>ت و ب</x:v>
      </x:c>
      <x:c r="B287" s="60" t="str">
        <x:v>P2 — شبكات دلالية مركزية</x:v>
      </x:c>
      <x:c r="C287" s="60" t="str">
        <x:v>تَوّاب</x:v>
      </x:c>
      <x:c r="D287" s="62" t="n">
        <x:v>12</x:v>
      </x:c>
      <x:c r="E287" s="60" t="str">
        <x:v>اسم</x:v>
      </x:c>
      <x:c r="F287" s="60" t="str">
        <x:v>N</x:v>
      </x:c>
      <x:c r="G287" s="60" t="str">
        <x:v>1</x:v>
      </x:c>
      <x:c r="H287" s="62" t="n">
        <x:v>5</x:v>
      </x:c>
      <x:c r="I287" s="60" t="str">
        <x:v>ٱلتَّوَّابُ، تَوَّابًا، تَوَّابٌ، ٱلتَّوَّٰبِينَ، تَوَّابًۢا</x:v>
      </x:c>
      <x:c r="J287" s="60" t="str">
        <x:v>2:37:10؛ 2:54:25؛ 2:128:16؛ 2:160:10</x:v>
      </x:c>
      <x:c r="K287" s="60" t="str">
        <x:v>مرشح بنيوي؛ لا تُستنتج الدلالة من اللمة وحدها</x:v>
      </x:c>
      <x:c r="L287" s="60" t="str">
        <x:v>https://corpus.quran.com/qurandictionary.jsp?q=twb</x:v>
      </x:c>
    </x:row>
    <x:row r="288">
      <x:c r="A288" s="60" t="str">
        <x:v>ت و ب</x:v>
      </x:c>
      <x:c r="B288" s="60" t="str">
        <x:v>P2 — شبكات دلالية مركزية</x:v>
      </x:c>
      <x:c r="C288" s="60" t="str">
        <x:v>تَوْبَة</x:v>
      </x:c>
      <x:c r="D288" s="62" t="n">
        <x:v>7</x:v>
      </x:c>
      <x:c r="E288" s="60" t="str">
        <x:v>اسم</x:v>
      </x:c>
      <x:c r="F288" s="60" t="str">
        <x:v>N</x:v>
      </x:c>
      <x:c r="G288" s="60" t="str">
        <x:v>—</x:v>
      </x:c>
      <x:c r="H288" s="62" t="n">
        <x:v>4</x:v>
      </x:c>
      <x:c r="I288" s="60" t="str">
        <x:v>ٱلتَّوْبَةُ، تَوْبَةً، ٱلتَّوْبَةَ، تَوْبَتُهُمْ</x:v>
      </x:c>
      <x:c r="J288" s="60" t="str">
        <x:v>3:90:11؛ 4:17:2؛ 4:18:2؛ 4:92:54</x:v>
      </x:c>
      <x:c r="K288" s="60" t="str">
        <x:v>مرشح بنيوي؛ لا تُستنتج الدلالة من اللمة وحدها</x:v>
      </x:c>
      <x:c r="L288" s="60" t="str">
        <x:v>https://corpus.quran.com/qurandictionary.jsp?q=twb</x:v>
      </x:c>
    </x:row>
    <x:row r="289">
      <x:c r="A289" s="60" t="str">
        <x:v>ت و ب</x:v>
      </x:c>
      <x:c r="B289" s="60" t="str">
        <x:v>P2 — شبكات دلالية مركزية</x:v>
      </x:c>
      <x:c r="C289" s="60" t="str">
        <x:v>مَتاب</x:v>
      </x:c>
      <x:c r="D289" s="62" t="n">
        <x:v>2</x:v>
      </x:c>
      <x:c r="E289" s="60" t="str">
        <x:v>اسم</x:v>
      </x:c>
      <x:c r="F289" s="60" t="str">
        <x:v>N</x:v>
      </x:c>
      <x:c r="G289" s="60" t="str">
        <x:v>—</x:v>
      </x:c>
      <x:c r="H289" s="62" t="n">
        <x:v>2</x:v>
      </x:c>
      <x:c r="I289" s="60" t="str">
        <x:v>مَتَابِ، مَتَابًا</x:v>
      </x:c>
      <x:c r="J289" s="60" t="str">
        <x:v>13:30:28؛ 25:71:9</x:v>
      </x:c>
      <x:c r="K289" s="60" t="str">
        <x:v>مرشح بنيوي؛ لا تُستنتج الدلالة من اللمة وحدها</x:v>
      </x:c>
      <x:c r="L289" s="60" t="str">
        <x:v>https://corpus.quran.com/qurandictionary.jsp?q=twb</x:v>
      </x:c>
    </x:row>
    <x:row r="290">
      <x:c r="A290" s="60" t="str">
        <x:v>ت و ب</x:v>
      </x:c>
      <x:c r="B290" s="60" t="str">
        <x:v>P2 — شبكات دلالية مركزية</x:v>
      </x:c>
      <x:c r="C290" s="60" t="str">
        <x:v>تائِب</x:v>
      </x:c>
      <x:c r="D290" s="62" t="n">
        <x:v>1</x:v>
      </x:c>
      <x:c r="E290" s="60" t="str">
        <x:v>اسم</x:v>
      </x:c>
      <x:c r="F290" s="60" t="str">
        <x:v>N</x:v>
      </x:c>
      <x:c r="G290" s="60" t="str">
        <x:v>1</x:v>
      </x:c>
      <x:c r="H290" s="62" t="n">
        <x:v>1</x:v>
      </x:c>
      <x:c r="I290" s="60" t="str">
        <x:v>ٱلتَّٰٓئِبُونَ</x:v>
      </x:c>
      <x:c r="J290" s="60" t="str">
        <x:v>9:112:1</x:v>
      </x:c>
      <x:c r="K290" s="60" t="str">
        <x:v>مرشح بنيوي؛ لا تُستنتج الدلالة من اللمة وحدها</x:v>
      </x:c>
      <x:c r="L290" s="60" t="str">
        <x:v>https://corpus.quran.com/qurandictionary.jsp?q=twb</x:v>
      </x:c>
    </x:row>
    <x:row r="291">
      <x:c r="A291" s="60" t="str">
        <x:v>ت و ب</x:v>
      </x:c>
      <x:c r="B291" s="60" t="str">
        <x:v>P2 — شبكات دلالية مركزية</x:v>
      </x:c>
      <x:c r="C291" s="60" t="str">
        <x:v>تائِبَة</x:v>
      </x:c>
      <x:c r="D291" s="62" t="n">
        <x:v>1</x:v>
      </x:c>
      <x:c r="E291" s="60" t="str">
        <x:v>اسم</x:v>
      </x:c>
      <x:c r="F291" s="60" t="str">
        <x:v>N</x:v>
      </x:c>
      <x:c r="G291" s="60" t="str">
        <x:v>—</x:v>
      </x:c>
      <x:c r="H291" s="62" t="n">
        <x:v>1</x:v>
      </x:c>
      <x:c r="I291" s="60" t="str">
        <x:v>تَٰٓئِبَٰتٍ</x:v>
      </x:c>
      <x:c r="J291" s="60" t="str">
        <x:v>66:5:13</x:v>
      </x:c>
      <x:c r="K291" s="60" t="str">
        <x:v>مرشح بنيوي؛ لا تُستنتج الدلالة من اللمة وحدها</x:v>
      </x:c>
      <x:c r="L291" s="60" t="str">
        <x:v>https://corpus.quran.com/qurandictionary.jsp?q=twb</x:v>
      </x:c>
    </x:row>
    <x:row r="292">
      <x:c r="A292" s="60" t="str">
        <x:v>ت و ب</x:v>
      </x:c>
      <x:c r="B292" s="60" t="str">
        <x:v>P2 — شبكات دلالية مركزية</x:v>
      </x:c>
      <x:c r="C292" s="60" t="str">
        <x:v>تَوْب</x:v>
      </x:c>
      <x:c r="D292" s="62" t="n">
        <x:v>1</x:v>
      </x:c>
      <x:c r="E292" s="60" t="str">
        <x:v>اسم</x:v>
      </x:c>
      <x:c r="F292" s="60" t="str">
        <x:v>N</x:v>
      </x:c>
      <x:c r="G292" s="60" t="str">
        <x:v>—</x:v>
      </x:c>
      <x:c r="H292" s="62" t="n">
        <x:v>1</x:v>
      </x:c>
      <x:c r="I292" s="60" t="str">
        <x:v>ٱلتَّوْبِ</x:v>
      </x:c>
      <x:c r="J292" s="60" t="str">
        <x:v>40:3:4</x:v>
      </x:c>
      <x:c r="K292" s="60" t="str">
        <x:v>مرشح بنيوي؛ لا تُستنتج الدلالة من اللمة وحدها</x:v>
      </x:c>
      <x:c r="L292" s="60" t="str">
        <x:v>https://corpus.quran.com/qurandictionary.jsp?q=twb</x:v>
      </x:c>
    </x:row>
    <x:row r="293">
      <x:c r="A293" s="60" t="str">
        <x:v>ر ض و (رضي)</x:v>
      </x:c>
      <x:c r="B293" s="60" t="str">
        <x:v>P2 — شبكات دلالية مركزية</x:v>
      </x:c>
      <x:c r="C293" s="60" t="str">
        <x:v>رَضِيَ</x:v>
      </x:c>
      <x:c r="D293" s="62" t="n">
        <x:v>38</x:v>
      </x:c>
      <x:c r="E293" s="60" t="str">
        <x:v>فعل</x:v>
      </x:c>
      <x:c r="F293" s="60" t="str">
        <x:v>V</x:v>
      </x:c>
      <x:c r="G293" s="60" t="str">
        <x:v>1</x:v>
      </x:c>
      <x:c r="H293" s="62" t="n">
        <x:v>23</x:v>
      </x:c>
      <x:c r="I293" s="60" t="str">
        <x:v>وَرَضُوا۟، يَرْضَىٰ، رَضُوا۟، رَّضِىَ، تَرْضَىٰ</x:v>
      </x:c>
      <x:c r="J293" s="60" t="str">
        <x:v>2:120:2؛ 2:144:9؛ 2:282:63؛ 4:108:14</x:v>
      </x:c>
      <x:c r="K293" s="60" t="str">
        <x:v>مرشح بنيوي؛ لا تُستنتج الدلالة من اللمة وحدها</x:v>
      </x:c>
      <x:c r="L293" s="60" t="str">
        <x:v>https://corpus.quran.com/qurandictionary.jsp?q=rDw</x:v>
      </x:c>
    </x:row>
    <x:row r="294">
      <x:c r="A294" s="60" t="str">
        <x:v>ر ض و (رضي)</x:v>
      </x:c>
      <x:c r="B294" s="60" t="str">
        <x:v>P2 — شبكات دلالية مركزية</x:v>
      </x:c>
      <x:c r="C294" s="60" t="str">
        <x:v>رِضْوان</x:v>
      </x:c>
      <x:c r="D294" s="62" t="n">
        <x:v>13</x:v>
      </x:c>
      <x:c r="E294" s="60" t="str">
        <x:v>اسم</x:v>
      </x:c>
      <x:c r="F294" s="60" t="str">
        <x:v>N</x:v>
      </x:c>
      <x:c r="G294" s="60" t="str">
        <x:v>—</x:v>
      </x:c>
      <x:c r="H294" s="62" t="n">
        <x:v>6</x:v>
      </x:c>
      <x:c r="I294" s="60" t="str">
        <x:v>وَرِضْوَٰنٌ، وَرِضْوَٰنًا، رِضْوَٰنَ، رِضْوَٰنَهُۥ، وَرِضْوَٰنٍ</x:v>
      </x:c>
      <x:c r="J294" s="60" t="str">
        <x:v>3:15:19؛ 3:162:3؛ 3:174:10؛ 5:2:23</x:v>
      </x:c>
      <x:c r="K294" s="60" t="str">
        <x:v>مرشح بنيوي؛ لا تُستنتج الدلالة من اللمة وحدها</x:v>
      </x:c>
      <x:c r="L294" s="60" t="str">
        <x:v>https://corpus.quran.com/qurandictionary.jsp?q=rDw</x:v>
      </x:c>
    </x:row>
    <x:row r="295">
      <x:c r="A295" s="60" t="str">
        <x:v>ر ض و (رضي)</x:v>
      </x:c>
      <x:c r="B295" s="60" t="str">
        <x:v>P2 — شبكات دلالية مركزية</x:v>
      </x:c>
      <x:c r="C295" s="60" t="str">
        <x:v>مَرْضات</x:v>
      </x:c>
      <x:c r="D295" s="62" t="n">
        <x:v>5</x:v>
      </x:c>
      <x:c r="E295" s="60" t="str">
        <x:v>اسم</x:v>
      </x:c>
      <x:c r="F295" s="60" t="str">
        <x:v>N</x:v>
      </x:c>
      <x:c r="G295" s="60" t="str">
        <x:v>1</x:v>
      </x:c>
      <x:c r="H295" s="62" t="n">
        <x:v>3</x:v>
      </x:c>
      <x:c r="I295" s="60" t="str">
        <x:v>مَرْضَاتِ، مَرْضَاتِى، مَرْضَاتَ</x:v>
      </x:c>
      <x:c r="J295" s="60" t="str">
        <x:v>2:207:7؛ 2:265:6؛ 4:114:21؛ 60:1:32</x:v>
      </x:c>
      <x:c r="K295" s="60" t="str">
        <x:v>مرشح بنيوي؛ لا تُستنتج الدلالة من اللمة وحدها</x:v>
      </x:c>
      <x:c r="L295" s="60" t="str">
        <x:v>https://corpus.quran.com/qurandictionary.jsp?q=rDw</x:v>
      </x:c>
    </x:row>
    <x:row r="296">
      <x:c r="A296" s="60" t="str">
        <x:v>ر ض و (رضي)</x:v>
      </x:c>
      <x:c r="B296" s="60" t="str">
        <x:v>P2 — شبكات دلالية مركزية</x:v>
      </x:c>
      <x:c r="C296" s="60" t="str">
        <x:v>راضِيَة</x:v>
      </x:c>
      <x:c r="D296" s="62" t="n">
        <x:v>4</x:v>
      </x:c>
      <x:c r="E296" s="60" t="str">
        <x:v>اسم</x:v>
      </x:c>
      <x:c r="F296" s="60" t="str">
        <x:v>N</x:v>
      </x:c>
      <x:c r="G296" s="60" t="str">
        <x:v>1</x:v>
      </x:c>
      <x:c r="H296" s="62" t="n">
        <x:v>3</x:v>
      </x:c>
      <x:c r="I296" s="60" t="str">
        <x:v>رَّاضِيَةٍ، رَاضِيَةٌ، رَاضِيَةً</x:v>
      </x:c>
      <x:c r="J296" s="60" t="str">
        <x:v>69:21:4؛ 88:9:2؛ 89:28:4؛ 101:7:4</x:v>
      </x:c>
      <x:c r="K296" s="60" t="str">
        <x:v>مرشح بنيوي؛ لا تُستنتج الدلالة من اللمة وحدها</x:v>
      </x:c>
      <x:c r="L296" s="60" t="str">
        <x:v>https://corpus.quran.com/qurandictionary.jsp?q=rDw</x:v>
      </x:c>
    </x:row>
    <x:row r="297">
      <x:c r="A297" s="60" t="str">
        <x:v>ر ض و (رضي)</x:v>
      </x:c>
      <x:c r="B297" s="60" t="str">
        <x:v>P2 — شبكات دلالية مركزية</x:v>
      </x:c>
      <x:c r="C297" s="60" t="str">
        <x:v>ارْتَضَى</x:v>
      </x:c>
      <x:c r="D297" s="62" t="n">
        <x:v>3</x:v>
      </x:c>
      <x:c r="E297" s="60" t="str">
        <x:v>فعل</x:v>
      </x:c>
      <x:c r="F297" s="60" t="str">
        <x:v>V</x:v>
      </x:c>
      <x:c r="G297" s="60" t="str">
        <x:v>8</x:v>
      </x:c>
      <x:c r="H297" s="62" t="n">
        <x:v>1</x:v>
      </x:c>
      <x:c r="I297" s="60" t="str">
        <x:v>ٱرْتَضَىٰ</x:v>
      </x:c>
      <x:c r="J297" s="60" t="str">
        <x:v>21:28:11؛ 24:55:20؛ 72:27:3</x:v>
      </x:c>
      <x:c r="K297" s="60" t="str">
        <x:v>مرشح بنيوي؛ لا تُستنتج الدلالة من اللمة وحدها</x:v>
      </x:c>
      <x:c r="L297" s="60" t="str">
        <x:v>https://corpus.quran.com/qurandictionary.jsp?q=rDw</x:v>
      </x:c>
    </x:row>
    <x:row r="298">
      <x:c r="A298" s="60" t="str">
        <x:v>ر ض و (رضي)</x:v>
      </x:c>
      <x:c r="B298" s="60" t="str">
        <x:v>P2 — شبكات دلالية مركزية</x:v>
      </x:c>
      <x:c r="C298" s="60" t="str">
        <x:v>يُرْضُ</x:v>
      </x:c>
      <x:c r="D298" s="62" t="n">
        <x:v>3</x:v>
      </x:c>
      <x:c r="E298" s="60" t="str">
        <x:v>فعل</x:v>
      </x:c>
      <x:c r="F298" s="60" t="str">
        <x:v>V</x:v>
      </x:c>
      <x:c r="G298" s="60" t="str">
        <x:v>4</x:v>
      </x:c>
      <x:c r="H298" s="62" t="n">
        <x:v>3</x:v>
      </x:c>
      <x:c r="I298" s="60" t="str">
        <x:v>يُرْضُونَكُم، لِيُرْضُوكُمْ، يُرْضُوهُ</x:v>
      </x:c>
      <x:c r="J298" s="60" t="str">
        <x:v>9:8:11؛ 9:62:4؛ 9:62:9</x:v>
      </x:c>
      <x:c r="K298" s="60" t="str">
        <x:v>مرشح بنيوي؛ لا تُستنتج الدلالة من اللمة وحدها</x:v>
      </x:c>
      <x:c r="L298" s="60" t="str">
        <x:v>https://corpus.quran.com/qurandictionary.jsp?q=rDw</x:v>
      </x:c>
    </x:row>
    <x:row r="299">
      <x:c r="A299" s="60" t="str">
        <x:v>ر ض و (رضي)</x:v>
      </x:c>
      <x:c r="B299" s="60" t="str">
        <x:v>P2 — شبكات دلالية مركزية</x:v>
      </x:c>
      <x:c r="C299" s="60" t="str">
        <x:v>تَراض</x:v>
      </x:c>
      <x:c r="D299" s="62" t="n">
        <x:v>2</x:v>
      </x:c>
      <x:c r="E299" s="60" t="str">
        <x:v>اسم</x:v>
      </x:c>
      <x:c r="F299" s="60" t="str">
        <x:v>N</x:v>
      </x:c>
      <x:c r="G299" s="60" t="str">
        <x:v>6</x:v>
      </x:c>
      <x:c r="H299" s="62" t="n">
        <x:v>1</x:v>
      </x:c>
      <x:c r="I299" s="60" t="str">
        <x:v>تَرَاضٍ</x:v>
      </x:c>
      <x:c r="J299" s="60" t="str">
        <x:v>2:233:38؛ 4:29:14</x:v>
      </x:c>
      <x:c r="K299" s="60" t="str">
        <x:v>مرشح بنيوي؛ لا تُستنتج الدلالة من اللمة وحدها</x:v>
      </x:c>
      <x:c r="L299" s="60" t="str">
        <x:v>https://corpus.quran.com/qurandictionary.jsp?q=rDw</x:v>
      </x:c>
    </x:row>
    <x:row r="300">
      <x:c r="A300" s="60" t="str">
        <x:v>ر ض و (رضي)</x:v>
      </x:c>
      <x:c r="B300" s="60" t="str">
        <x:v>P2 — شبكات دلالية مركزية</x:v>
      </x:c>
      <x:c r="C300" s="60" t="str">
        <x:v>تَراضَ</x:v>
      </x:c>
      <x:c r="D300" s="62" t="n">
        <x:v>2</x:v>
      </x:c>
      <x:c r="E300" s="60" t="str">
        <x:v>فعل</x:v>
      </x:c>
      <x:c r="F300" s="60" t="str">
        <x:v>V</x:v>
      </x:c>
      <x:c r="G300" s="60" t="str">
        <x:v>6</x:v>
      </x:c>
      <x:c r="H300" s="62" t="n">
        <x:v>2</x:v>
      </x:c>
      <x:c r="I300" s="60" t="str">
        <x:v>تَرَٰضَوْا۟، تَرَٰضَيْتُم</x:v>
      </x:c>
      <x:c r="J300" s="60" t="str">
        <x:v>2:232:12؛ 4:24:33</x:v>
      </x:c>
      <x:c r="K300" s="60" t="str">
        <x:v>مرشح بنيوي؛ لا تُستنتج الدلالة من اللمة وحدها</x:v>
      </x:c>
      <x:c r="L300" s="60" t="str">
        <x:v>https://corpus.quran.com/qurandictionary.jsp?q=rDw</x:v>
      </x:c>
    </x:row>
    <x:row r="301">
      <x:c r="A301" s="60" t="str">
        <x:v>ر ض و (رضي)</x:v>
      </x:c>
      <x:c r="B301" s="60" t="str">
        <x:v>P2 — شبكات دلالية مركزية</x:v>
      </x:c>
      <x:c r="C301" s="60" t="str">
        <x:v>رَضِيّ</x:v>
      </x:c>
      <x:c r="D301" s="62" t="n">
        <x:v>1</x:v>
      </x:c>
      <x:c r="E301" s="60" t="str">
        <x:v>اسم</x:v>
      </x:c>
      <x:c r="F301" s="60" t="str">
        <x:v>N</x:v>
      </x:c>
      <x:c r="G301" s="60" t="str">
        <x:v>—</x:v>
      </x:c>
      <x:c r="H301" s="62" t="n">
        <x:v>1</x:v>
      </x:c>
      <x:c r="I301" s="60" t="str">
        <x:v>رَضِيًّا</x:v>
      </x:c>
      <x:c r="J301" s="60" t="str">
        <x:v>19:6:8</x:v>
      </x:c>
      <x:c r="K301" s="60" t="str">
        <x:v>مرشح بنيوي؛ لا تُستنتج الدلالة من اللمة وحدها</x:v>
      </x:c>
      <x:c r="L301" s="60" t="str">
        <x:v>https://corpus.quran.com/qurandictionary.jsp?q=rDw</x:v>
      </x:c>
    </x:row>
    <x:row r="302">
      <x:c r="A302" s="60" t="str">
        <x:v>ر ض و (رضي)</x:v>
      </x:c>
      <x:c r="B302" s="60" t="str">
        <x:v>P2 — شبكات دلالية مركزية</x:v>
      </x:c>
      <x:c r="C302" s="60" t="str">
        <x:v>مَرْضِيّ</x:v>
      </x:c>
      <x:c r="D302" s="62" t="n">
        <x:v>1</x:v>
      </x:c>
      <x:c r="E302" s="60" t="str">
        <x:v>اسم</x:v>
      </x:c>
      <x:c r="F302" s="60" t="str">
        <x:v>N</x:v>
      </x:c>
      <x:c r="G302" s="60" t="str">
        <x:v>1</x:v>
      </x:c>
      <x:c r="H302" s="62" t="n">
        <x:v>1</x:v>
      </x:c>
      <x:c r="I302" s="60" t="str">
        <x:v>مَرْضِيًّا</x:v>
      </x:c>
      <x:c r="J302" s="60" t="str">
        <x:v>19:55:9</x:v>
      </x:c>
      <x:c r="K302" s="60" t="str">
        <x:v>مرشح بنيوي؛ لا تُستنتج الدلالة من اللمة وحدها</x:v>
      </x:c>
      <x:c r="L302" s="60" t="str">
        <x:v>https://corpus.quran.com/qurandictionary.jsp?q=rDw</x:v>
      </x:c>
    </x:row>
    <x:row r="303">
      <x:c r="A303" s="60" t="str">
        <x:v>ر ض و (رضي)</x:v>
      </x:c>
      <x:c r="B303" s="60" t="str">
        <x:v>P2 — شبكات دلالية مركزية</x:v>
      </x:c>
      <x:c r="C303" s="60" t="str">
        <x:v>مَرْضِيَّة</x:v>
      </x:c>
      <x:c r="D303" s="62" t="n">
        <x:v>1</x:v>
      </x:c>
      <x:c r="E303" s="60" t="str">
        <x:v>اسم</x:v>
      </x:c>
      <x:c r="F303" s="60" t="str">
        <x:v>N</x:v>
      </x:c>
      <x:c r="G303" s="60" t="str">
        <x:v>1</x:v>
      </x:c>
      <x:c r="H303" s="62" t="n">
        <x:v>1</x:v>
      </x:c>
      <x:c r="I303" s="60" t="str">
        <x:v>مَّرْضِيَّةً</x:v>
      </x:c>
      <x:c r="J303" s="60" t="str">
        <x:v>89:28:5</x:v>
      </x:c>
      <x:c r="K303" s="60" t="str">
        <x:v>مرشح بنيوي؛ لا تُستنتج الدلالة من اللمة وحدها</x:v>
      </x:c>
      <x:c r="L303" s="60" t="str">
        <x:v>https://corpus.quran.com/qurandictionary.jsp?q=rDw</x:v>
      </x:c>
    </x:row>
    <x:row r="304">
      <x:c r="A304" s="60" t="str">
        <x:v>ع ر ف</x:v>
      </x:c>
      <x:c r="B304" s="60" t="str">
        <x:v>P2 — شبكات دلالية مركزية</x:v>
      </x:c>
      <x:c r="C304" s="60" t="str">
        <x:v>مَعْرُوف</x:v>
      </x:c>
      <x:c r="D304" s="62" t="n">
        <x:v>38</x:v>
      </x:c>
      <x:c r="E304" s="60" t="str">
        <x:v>اسم</x:v>
      </x:c>
      <x:c r="F304" s="60" t="str">
        <x:v>N</x:v>
      </x:c>
      <x:c r="G304" s="60" t="str">
        <x:v>1</x:v>
      </x:c>
      <x:c r="H304" s="62" t="n">
        <x:v>8</x:v>
      </x:c>
      <x:c r="I304" s="60" t="str">
        <x:v>بِٱلْمَعْرُوفِ، بِمَعْرُوفٍ، مَّعْرُوفًا، مَّعْرُوفٌ، مَعْرُوفٍ</x:v>
      </x:c>
      <x:c r="J304" s="60" t="str">
        <x:v>2:178:22؛ 2:180:13؛ 2:228:34؛ 2:229:4</x:v>
      </x:c>
      <x:c r="K304" s="60" t="str">
        <x:v>مرشح بنيوي؛ لا تُستنتج الدلالة من اللمة وحدها</x:v>
      </x:c>
      <x:c r="L304" s="60" t="str">
        <x:v>https://corpus.quran.com/qurandictionary.jsp?q=Erf</x:v>
      </x:c>
    </x:row>
    <x:row r="305">
      <x:c r="A305" s="60" t="str">
        <x:v>ع ر ف</x:v>
      </x:c>
      <x:c r="B305" s="60" t="str">
        <x:v>P2 — شبكات دلالية مركزية</x:v>
      </x:c>
      <x:c r="C305" s="60" t="str">
        <x:v>عَرَفَ</x:v>
      </x:c>
      <x:c r="D305" s="62" t="n">
        <x:v>20</x:v>
      </x:c>
      <x:c r="E305" s="60" t="str">
        <x:v>فعل</x:v>
      </x:c>
      <x:c r="F305" s="60" t="str">
        <x:v>V</x:v>
      </x:c>
      <x:c r="G305" s="60" t="str">
        <x:v>1</x:v>
      </x:c>
      <x:c r="H305" s="62" t="n">
        <x:v>14</x:v>
      </x:c>
      <x:c r="I305" s="60" t="str">
        <x:v>يَعْرِفُونَ، عَرَفُوا۟، يَعْرِفُونَهُۥ، تَعْرِفُ، تَعْرِفُهُم</x:v>
      </x:c>
      <x:c r="J305" s="60" t="str">
        <x:v>2:89:20؛ 2:146:4؛ 2:146:6؛ 2:273:17</x:v>
      </x:c>
      <x:c r="K305" s="60" t="str">
        <x:v>مرشح بنيوي؛ لا تُستنتج الدلالة من اللمة وحدها</x:v>
      </x:c>
      <x:c r="L305" s="60" t="str">
        <x:v>https://corpus.quran.com/qurandictionary.jsp?q=Erf</x:v>
      </x:c>
    </x:row>
    <x:row r="306">
      <x:c r="A306" s="60" t="str">
        <x:v>ع ر ف</x:v>
      </x:c>
      <x:c r="B306" s="60" t="str">
        <x:v>P2 — شبكات دلالية مركزية</x:v>
      </x:c>
      <x:c r="C306" s="60" t="str">
        <x:v>اعْتَرَفُ</x:v>
      </x:c>
      <x:c r="D306" s="62" t="n">
        <x:v>3</x:v>
      </x:c>
      <x:c r="E306" s="60" t="str">
        <x:v>فعل</x:v>
      </x:c>
      <x:c r="F306" s="60" t="str">
        <x:v>V</x:v>
      </x:c>
      <x:c r="G306" s="60" t="str">
        <x:v>8</x:v>
      </x:c>
      <x:c r="H306" s="62" t="n">
        <x:v>3</x:v>
      </x:c>
      <x:c r="I306" s="60" t="str">
        <x:v>ٱعْتَرَفُوا۟، فَٱعْتَرَفْنَا، فَٱعْتَرَفُوا۟</x:v>
      </x:c>
      <x:c r="J306" s="60" t="str">
        <x:v>9:102:2؛ 40:11:7؛ 67:11:1</x:v>
      </x:c>
      <x:c r="K306" s="60" t="str">
        <x:v>مرشح بنيوي؛ لا تُستنتج الدلالة من اللمة وحدها</x:v>
      </x:c>
      <x:c r="L306" s="60" t="str">
        <x:v>https://corpus.quran.com/qurandictionary.jsp?q=Erf</x:v>
      </x:c>
    </x:row>
    <x:row r="307">
      <x:c r="A307" s="60" t="str">
        <x:v>ع ر ف</x:v>
      </x:c>
      <x:c r="B307" s="60" t="str">
        <x:v>P2 — شبكات دلالية مركزية</x:v>
      </x:c>
      <x:c r="C307" s="60" t="str">
        <x:v>أَعْراف</x:v>
      </x:c>
      <x:c r="D307" s="62" t="n">
        <x:v>2</x:v>
      </x:c>
      <x:c r="E307" s="60" t="str">
        <x:v>اسم</x:v>
      </x:c>
      <x:c r="F307" s="60" t="str">
        <x:v>N</x:v>
      </x:c>
      <x:c r="G307" s="60" t="str">
        <x:v>—</x:v>
      </x:c>
      <x:c r="H307" s="62" t="n">
        <x:v>1</x:v>
      </x:c>
      <x:c r="I307" s="60" t="str">
        <x:v>ٱلْأَعْرَافِ</x:v>
      </x:c>
      <x:c r="J307" s="60" t="str">
        <x:v>7:46:4؛ 7:48:3</x:v>
      </x:c>
      <x:c r="K307" s="60" t="str">
        <x:v>مرشح بنيوي؛ لا تُستنتج الدلالة من اللمة وحدها</x:v>
      </x:c>
      <x:c r="L307" s="60" t="str">
        <x:v>https://corpus.quran.com/qurandictionary.jsp?q=Erf</x:v>
      </x:c>
    </x:row>
    <x:row r="308">
      <x:c r="A308" s="60" t="str">
        <x:v>ع ر ف</x:v>
      </x:c>
      <x:c r="B308" s="60" t="str">
        <x:v>P2 — شبكات دلالية مركزية</x:v>
      </x:c>
      <x:c r="C308" s="60" t="str">
        <x:v>عَرَّفَ</x:v>
      </x:c>
      <x:c r="D308" s="62" t="n">
        <x:v>2</x:v>
      </x:c>
      <x:c r="E308" s="60" t="str">
        <x:v>فعل</x:v>
      </x:c>
      <x:c r="F308" s="60" t="str">
        <x:v>V</x:v>
      </x:c>
      <x:c r="G308" s="60" t="str">
        <x:v>2</x:v>
      </x:c>
      <x:c r="H308" s="62" t="n">
        <x:v>2</x:v>
      </x:c>
      <x:c r="I308" s="60" t="str">
        <x:v>عَرَّفَهَا، عَرَّفَ</x:v>
      </x:c>
      <x:c r="J308" s="60" t="str">
        <x:v>47:6:3؛ 66:3:14</x:v>
      </x:c>
      <x:c r="K308" s="60" t="str">
        <x:v>مرشح بنيوي؛ لا تُستنتج الدلالة من اللمة وحدها</x:v>
      </x:c>
      <x:c r="L308" s="60" t="str">
        <x:v>https://corpus.quran.com/qurandictionary.jsp?q=Erf</x:v>
      </x:c>
    </x:row>
    <x:row r="309">
      <x:c r="A309" s="60" t="str">
        <x:v>ع ر ف</x:v>
      </x:c>
      <x:c r="B309" s="60" t="str">
        <x:v>P2 — شبكات دلالية مركزية</x:v>
      </x:c>
      <x:c r="C309" s="60" t="str">
        <x:v>عُرْف</x:v>
      </x:c>
      <x:c r="D309" s="62" t="n">
        <x:v>2</x:v>
      </x:c>
      <x:c r="E309" s="60" t="str">
        <x:v>اسم</x:v>
      </x:c>
      <x:c r="F309" s="60" t="str">
        <x:v>N</x:v>
      </x:c>
      <x:c r="G309" s="60" t="str">
        <x:v>—</x:v>
      </x:c>
      <x:c r="H309" s="62" t="n">
        <x:v>2</x:v>
      </x:c>
      <x:c r="I309" s="60" t="str">
        <x:v>بِٱلْعُرْفِ، عُرْفًا</x:v>
      </x:c>
      <x:c r="J309" s="60" t="str">
        <x:v>7:199:4؛ 77:1:2</x:v>
      </x:c>
      <x:c r="K309" s="60" t="str">
        <x:v>مرشح بنيوي؛ لا تُستنتج الدلالة من اللمة وحدها</x:v>
      </x:c>
      <x:c r="L309" s="60" t="str">
        <x:v>https://corpus.quran.com/qurandictionary.jsp?q=Erf</x:v>
      </x:c>
    </x:row>
    <x:row r="310">
      <x:c r="A310" s="60" t="str">
        <x:v>ع ر ف</x:v>
      </x:c>
      <x:c r="B310" s="60" t="str">
        <x:v>P2 — شبكات دلالية مركزية</x:v>
      </x:c>
      <x:c r="C310" s="60" t="str">
        <x:v>يَتَعارَفُ</x:v>
      </x:c>
      <x:c r="D310" s="62" t="n">
        <x:v>2</x:v>
      </x:c>
      <x:c r="E310" s="60" t="str">
        <x:v>فعل</x:v>
      </x:c>
      <x:c r="F310" s="60" t="str">
        <x:v>V</x:v>
      </x:c>
      <x:c r="G310" s="60" t="str">
        <x:v>6</x:v>
      </x:c>
      <x:c r="H310" s="62" t="n">
        <x:v>2</x:v>
      </x:c>
      <x:c r="I310" s="60" t="str">
        <x:v>يَتَعَارَفُونَ، لِتَعَارَفُوٓا۟</x:v>
      </x:c>
      <x:c r="J310" s="60" t="str">
        <x:v>10:45:10؛ 49:13:11</x:v>
      </x:c>
      <x:c r="K310" s="60" t="str">
        <x:v>مرشح بنيوي؛ لا تُستنتج الدلالة من اللمة وحدها</x:v>
      </x:c>
      <x:c r="L310" s="60" t="str">
        <x:v>https://corpus.quran.com/qurandictionary.jsp?q=Erf</x:v>
      </x:c>
    </x:row>
    <x:row r="311">
      <x:c r="A311" s="60" t="str">
        <x:v>ع ر ف</x:v>
      </x:c>
      <x:c r="B311" s="60" t="str">
        <x:v>P2 — شبكات دلالية مركزية</x:v>
      </x:c>
      <x:c r="C311" s="60" t="str">
        <x:v>عَرَفات</x:v>
      </x:c>
      <x:c r="D311" s="62" t="n">
        <x:v>1</x:v>
      </x:c>
      <x:c r="E311" s="60" t="str">
        <x:v>اسم</x:v>
      </x:c>
      <x:c r="F311" s="60" t="str">
        <x:v>N</x:v>
      </x:c>
      <x:c r="G311" s="60" t="str">
        <x:v>—</x:v>
      </x:c>
      <x:c r="H311" s="62" t="n">
        <x:v>1</x:v>
      </x:c>
      <x:c r="I311" s="60" t="str">
        <x:v>عَرَفَٰتٍ</x:v>
      </x:c>
      <x:c r="J311" s="60" t="str">
        <x:v>2:198:12</x:v>
      </x:c>
      <x:c r="K311" s="60" t="str">
        <x:v>مرشح بنيوي؛ لا تُستنتج الدلالة من اللمة وحدها</x:v>
      </x:c>
      <x:c r="L311" s="60" t="str">
        <x:v>https://corpus.quran.com/qurandictionary.jsp?q=Erf</x:v>
      </x:c>
    </x:row>
    <x:row r="312">
      <x:c r="A312" s="60" t="str">
        <x:v>ع ر ف</x:v>
      </x:c>
      <x:c r="B312" s="60" t="str">
        <x:v>P2 — شبكات دلالية مركزية</x:v>
      </x:c>
      <x:c r="C312" s="60" t="str">
        <x:v>مَعْرُوفَة</x:v>
      </x:c>
      <x:c r="D312" s="62" t="n">
        <x:v>1</x:v>
      </x:c>
      <x:c r="E312" s="60" t="str">
        <x:v>اسم</x:v>
      </x:c>
      <x:c r="F312" s="60" t="str">
        <x:v>N</x:v>
      </x:c>
      <x:c r="G312" s="60" t="str">
        <x:v>1</x:v>
      </x:c>
      <x:c r="H312" s="62" t="n">
        <x:v>1</x:v>
      </x:c>
      <x:c r="I312" s="60" t="str">
        <x:v>مَّعْرُوفَةٌ</x:v>
      </x:c>
      <x:c r="J312" s="60" t="str">
        <x:v>24:53:12</x:v>
      </x:c>
      <x:c r="K312" s="60" t="str">
        <x:v>مرشح بنيوي؛ لا تُستنتج الدلالة من اللمة وحدها</x:v>
      </x:c>
      <x:c r="L312" s="60" t="str">
        <x:v>https://corpus.quran.com/qurandictionary.jsp?q=Erf</x:v>
      </x:c>
    </x:row>
    <x:row r="313">
      <x:c r="A313" s="60" t="str">
        <x:v>ر و ح</x:v>
      </x:c>
      <x:c r="B313" s="60" t="str">
        <x:v>P2 — شبكات دلالية مركزية</x:v>
      </x:c>
      <x:c r="C313" s="60" t="str">
        <x:v>رِيح</x:v>
      </x:c>
      <x:c r="D313" s="62" t="n">
        <x:v>29</x:v>
      </x:c>
      <x:c r="E313" s="60" t="str">
        <x:v>اسم</x:v>
      </x:c>
      <x:c r="F313" s="60" t="str">
        <x:v>N</x:v>
      </x:c>
      <x:c r="G313" s="60" t="str">
        <x:v>—</x:v>
      </x:c>
      <x:c r="H313" s="62" t="n">
        <x:v>13</x:v>
      </x:c>
      <x:c r="I313" s="60" t="str">
        <x:v>ٱلرِّيَٰحَ، ٱلرِّيحَ، رِيحًا، ٱلرِّيَٰحِ، بِرِيحٍ</x:v>
      </x:c>
      <x:c r="J313" s="60" t="str">
        <x:v>2:164:35؛ 3:117:9؛ 7:57:4؛ 8:46:8</x:v>
      </x:c>
      <x:c r="K313" s="60" t="str">
        <x:v>مرشح بنيوي؛ لا تُستنتج الدلالة من اللمة وحدها</x:v>
      </x:c>
      <x:c r="L313" s="60" t="str">
        <x:v>https://corpus.quran.com/qurandictionary.jsp?q=rwH</x:v>
      </x:c>
    </x:row>
    <x:row r="314">
      <x:c r="A314" s="60" t="str">
        <x:v>ر و ح</x:v>
      </x:c>
      <x:c r="B314" s="60" t="str">
        <x:v>P2 — شبكات دلالية مركزية</x:v>
      </x:c>
      <x:c r="C314" s="60" t="str">
        <x:v>رُوح</x:v>
      </x:c>
      <x:c r="D314" s="62" t="n">
        <x:v>21</x:v>
      </x:c>
      <x:c r="E314" s="60" t="str">
        <x:v>اسم</x:v>
      </x:c>
      <x:c r="F314" s="60" t="str">
        <x:v>N</x:v>
      </x:c>
      <x:c r="G314" s="60" t="str">
        <x:v>—</x:v>
      </x:c>
      <x:c r="H314" s="62" t="n">
        <x:v>14</x:v>
      </x:c>
      <x:c r="I314" s="60" t="str">
        <x:v>بِرُوحِ، ٱلرُّوحُ، رُّوحِى، رُّوحِنَا، وَٱلرُّوحُ</x:v>
      </x:c>
      <x:c r="J314" s="60" t="str">
        <x:v>2:87:15؛ 2:253:20؛ 4:171:24؛ 5:110:14</x:v>
      </x:c>
      <x:c r="K314" s="60" t="str">
        <x:v>مرشح بنيوي؛ لا تُستنتج الدلالة من اللمة وحدها</x:v>
      </x:c>
      <x:c r="L314" s="60" t="str">
        <x:v>https://corpus.quran.com/qurandictionary.jsp?q=rwH</x:v>
      </x:c>
    </x:row>
    <x:row r="315">
      <x:c r="A315" s="60" t="str">
        <x:v>ر و ح</x:v>
      </x:c>
      <x:c r="B315" s="60" t="str">
        <x:v>P2 — شبكات دلالية مركزية</x:v>
      </x:c>
      <x:c r="C315" s="60" t="str">
        <x:v>رَوْح</x:v>
      </x:c>
      <x:c r="D315" s="62" t="n">
        <x:v>3</x:v>
      </x:c>
      <x:c r="E315" s="60" t="str">
        <x:v>اسم</x:v>
      </x:c>
      <x:c r="F315" s="60" t="str">
        <x:v>N</x:v>
      </x:c>
      <x:c r="G315" s="60" t="str">
        <x:v>—</x:v>
      </x:c>
      <x:c r="H315" s="62" t="n">
        <x:v>2</x:v>
      </x:c>
      <x:c r="I315" s="60" t="str">
        <x:v>رَّوْحِ، فَرَوْحٌ</x:v>
      </x:c>
      <x:c r="J315" s="60" t="str">
        <x:v>12:87:10؛ 12:87:16؛ 56:89:1</x:v>
      </x:c>
      <x:c r="K315" s="60" t="str">
        <x:v>مرشح بنيوي؛ لا تُستنتج الدلالة من اللمة وحدها</x:v>
      </x:c>
      <x:c r="L315" s="60" t="str">
        <x:v>https://corpus.quran.com/qurandictionary.jsp?q=rwH</x:v>
      </x:c>
    </x:row>
    <x:row r="316">
      <x:c r="A316" s="60" t="str">
        <x:v>ر و ح</x:v>
      </x:c>
      <x:c r="B316" s="60" t="str">
        <x:v>P2 — شبكات دلالية مركزية</x:v>
      </x:c>
      <x:c r="C316" s="60" t="str">
        <x:v>رَيْحان</x:v>
      </x:c>
      <x:c r="D316" s="62" t="n">
        <x:v>2</x:v>
      </x:c>
      <x:c r="E316" s="60" t="str">
        <x:v>اسم</x:v>
      </x:c>
      <x:c r="F316" s="60" t="str">
        <x:v>N</x:v>
      </x:c>
      <x:c r="G316" s="60" t="str">
        <x:v>—</x:v>
      </x:c>
      <x:c r="H316" s="62" t="n">
        <x:v>2</x:v>
      </x:c>
      <x:c r="I316" s="60" t="str">
        <x:v>وَٱلرَّيْحَانُ، وَرَيْحَانٌ</x:v>
      </x:c>
      <x:c r="J316" s="60" t="str">
        <x:v>55:12:4؛ 56:89:2</x:v>
      </x:c>
      <x:c r="K316" s="60" t="str">
        <x:v>مرشح بنيوي؛ لا تُستنتج الدلالة من اللمة وحدها</x:v>
      </x:c>
      <x:c r="L316" s="60" t="str">
        <x:v>https://corpus.quran.com/qurandictionary.jsp?q=rwH</x:v>
      </x:c>
    </x:row>
    <x:row r="317">
      <x:c r="A317" s="60" t="str">
        <x:v>ر و ح</x:v>
      </x:c>
      <x:c r="B317" s="60" t="str">
        <x:v>P2 — شبكات دلالية مركزية</x:v>
      </x:c>
      <x:c r="C317" s="60" t="str">
        <x:v>تُرِيحُ</x:v>
      </x:c>
      <x:c r="D317" s="62" t="n">
        <x:v>1</x:v>
      </x:c>
      <x:c r="E317" s="60" t="str">
        <x:v>فعل</x:v>
      </x:c>
      <x:c r="F317" s="60" t="str">
        <x:v>V</x:v>
      </x:c>
      <x:c r="G317" s="60" t="str">
        <x:v>4</x:v>
      </x:c>
      <x:c r="H317" s="62" t="n">
        <x:v>1</x:v>
      </x:c>
      <x:c r="I317" s="60" t="str">
        <x:v>تُرِيحُونَ</x:v>
      </x:c>
      <x:c r="J317" s="60" t="str">
        <x:v>16:6:5</x:v>
      </x:c>
      <x:c r="K317" s="60" t="str">
        <x:v>مرشح بنيوي؛ لا تُستنتج الدلالة من اللمة وحدها</x:v>
      </x:c>
      <x:c r="L317" s="60" t="str">
        <x:v>https://corpus.quran.com/qurandictionary.jsp?q=rwH</x:v>
      </x:c>
    </x:row>
    <x:row r="318">
      <x:c r="A318" s="60" t="str">
        <x:v>ر و ح</x:v>
      </x:c>
      <x:c r="B318" s="60" t="str">
        <x:v>P2 — شبكات دلالية مركزية</x:v>
      </x:c>
      <x:c r="C318" s="60" t="str">
        <x:v>رَواح</x:v>
      </x:c>
      <x:c r="D318" s="62" t="n">
        <x:v>1</x:v>
      </x:c>
      <x:c r="E318" s="60" t="str">
        <x:v>اسم</x:v>
      </x:c>
      <x:c r="F318" s="60" t="str">
        <x:v>N</x:v>
      </x:c>
      <x:c r="G318" s="60" t="str">
        <x:v>—</x:v>
      </x:c>
      <x:c r="H318" s="62" t="n">
        <x:v>1</x:v>
      </x:c>
      <x:c r="I318" s="60" t="str">
        <x:v>وَرَوَاحُهَا</x:v>
      </x:c>
      <x:c r="J318" s="60" t="str">
        <x:v>34:12:5</x:v>
      </x:c>
      <x:c r="K318" s="60" t="str">
        <x:v>مرشح بنيوي؛ لا تُستنتج الدلالة من اللمة وحدها</x:v>
      </x:c>
      <x:c r="L318" s="60" t="str">
        <x:v>https://corpus.quran.com/qurandictionary.jsp?q=rwH</x:v>
      </x:c>
    </x:row>
    <x:row r="319">
      <x:c r="A319" s="60" t="str">
        <x:v>ك ر ه</x:v>
      </x:c>
      <x:c r="B319" s="60" t="str">
        <x:v>P2 — شبكات دلالية مركزية</x:v>
      </x:c>
      <x:c r="C319" s="60" t="str">
        <x:v>كَرِهَ</x:v>
      </x:c>
      <x:c r="D319" s="62" t="n">
        <x:v>17</x:v>
      </x:c>
      <x:c r="E319" s="60" t="str">
        <x:v>فعل</x:v>
      </x:c>
      <x:c r="F319" s="60" t="str">
        <x:v>V</x:v>
      </x:c>
      <x:c r="G319" s="60" t="str">
        <x:v>1</x:v>
      </x:c>
      <x:c r="H319" s="62" t="n">
        <x:v>8</x:v>
      </x:c>
      <x:c r="I319" s="60" t="str">
        <x:v>كَرِهَ، تَكْرَهُوا۟، كَرِهُوا۟، كَرِهْتُمُوهُنَّ، وَكَرِهُوٓا۟</x:v>
      </x:c>
      <x:c r="J319" s="60" t="str">
        <x:v>2:216:9؛ 4:19:25؛ 4:19:28؛ 8:8:6</x:v>
      </x:c>
      <x:c r="K319" s="60" t="str">
        <x:v>مرشح بنيوي؛ لا تُستنتج الدلالة من اللمة وحدها</x:v>
      </x:c>
      <x:c r="L319" s="60" t="str">
        <x:v>https://corpus.quran.com/qurandictionary.jsp?q=krh</x:v>
      </x:c>
    </x:row>
    <x:row r="320">
      <x:c r="A320" s="60" t="str">
        <x:v>ك ر ه</x:v>
      </x:c>
      <x:c r="B320" s="60" t="str">
        <x:v>P2 — شبكات دلالية مركزية</x:v>
      </x:c>
      <x:c r="C320" s="60" t="str">
        <x:v>كارِه</x:v>
      </x:c>
      <x:c r="D320" s="62" t="n">
        <x:v>7</x:v>
      </x:c>
      <x:c r="E320" s="60" t="str">
        <x:v>اسم</x:v>
      </x:c>
      <x:c r="F320" s="60" t="str">
        <x:v>N</x:v>
      </x:c>
      <x:c r="G320" s="60" t="str">
        <x:v>1</x:v>
      </x:c>
      <x:c r="H320" s="62" t="n">
        <x:v>3</x:v>
      </x:c>
      <x:c r="I320" s="60" t="str">
        <x:v>كَٰرِهُونَ، كَٰرِهِينَ، لَكَٰرِهُونَ</x:v>
      </x:c>
      <x:c r="J320" s="60" t="str">
        <x:v>7:88:21؛ 8:5:11؛ 9:48:16؛ 9:54:22</x:v>
      </x:c>
      <x:c r="K320" s="60" t="str">
        <x:v>مرشح بنيوي؛ لا تُستنتج الدلالة من اللمة وحدها</x:v>
      </x:c>
      <x:c r="L320" s="60" t="str">
        <x:v>https://corpus.quran.com/qurandictionary.jsp?q=krh</x:v>
      </x:c>
    </x:row>
    <x:row r="321">
      <x:c r="A321" s="60" t="str">
        <x:v>ك ر ه</x:v>
      </x:c>
      <x:c r="B321" s="60" t="str">
        <x:v>P2 — شبكات دلالية مركزية</x:v>
      </x:c>
      <x:c r="C321" s="60" t="str">
        <x:v>أُكْرِهَ</x:v>
      </x:c>
      <x:c r="D321" s="62" t="n">
        <x:v>5</x:v>
      </x:c>
      <x:c r="E321" s="60" t="str">
        <x:v>فعل</x:v>
      </x:c>
      <x:c r="F321" s="60" t="str">
        <x:v>V</x:v>
      </x:c>
      <x:c r="G321" s="60" t="str">
        <x:v>4</x:v>
      </x:c>
      <x:c r="H321" s="62" t="n">
        <x:v>5</x:v>
      </x:c>
      <x:c r="I321" s="60" t="str">
        <x:v>تُكْرِهُ، أُكْرِهَ، أَكْرَهْتَنَا، تُكْرِهُوا۟، يُكْرِههُّنَّ</x:v>
      </x:c>
      <x:c r="J321" s="60" t="str">
        <x:v>10:99:11؛ 16:106:9؛ 20:73:8؛ 24:33:29</x:v>
      </x:c>
      <x:c r="K321" s="60" t="str">
        <x:v>مرشح بنيوي؛ لا تُستنتج الدلالة من اللمة وحدها</x:v>
      </x:c>
      <x:c r="L321" s="60" t="str">
        <x:v>https://corpus.quran.com/qurandictionary.jsp?q=krh</x:v>
      </x:c>
    </x:row>
    <x:row r="322">
      <x:c r="A322" s="60" t="str">
        <x:v>ك ر ه</x:v>
      </x:c>
      <x:c r="B322" s="60" t="str">
        <x:v>P2 — شبكات دلالية مركزية</x:v>
      </x:c>
      <x:c r="C322" s="60" t="str">
        <x:v>كَرْه</x:v>
      </x:c>
      <x:c r="D322" s="62" t="n">
        <x:v>5</x:v>
      </x:c>
      <x:c r="E322" s="60" t="str">
        <x:v>اسم</x:v>
      </x:c>
      <x:c r="F322" s="60" t="str">
        <x:v>N</x:v>
      </x:c>
      <x:c r="G322" s="60" t="str">
        <x:v>—</x:v>
      </x:c>
      <x:c r="H322" s="62" t="n">
        <x:v>2</x:v>
      </x:c>
      <x:c r="I322" s="60" t="str">
        <x:v>كَرْهًا، وَكَرْهًا</x:v>
      </x:c>
      <x:c r="J322" s="60" t="str">
        <x:v>3:83:12؛ 4:19:10؛ 9:53:5؛ 13:15:8</x:v>
      </x:c>
      <x:c r="K322" s="60" t="str">
        <x:v>مرشح بنيوي؛ لا تُستنتج الدلالة من اللمة وحدها</x:v>
      </x:c>
      <x:c r="L322" s="60" t="str">
        <x:v>https://corpus.quran.com/qurandictionary.jsp?q=krh</x:v>
      </x:c>
    </x:row>
    <x:row r="323">
      <x:c r="A323" s="60" t="str">
        <x:v>ك ر ه</x:v>
      </x:c>
      <x:c r="B323" s="60" t="str">
        <x:v>P2 — شبكات دلالية مركزية</x:v>
      </x:c>
      <x:c r="C323" s="60" t="str">
        <x:v>كُرْه</x:v>
      </x:c>
      <x:c r="D323" s="62" t="n">
        <x:v>3</x:v>
      </x:c>
      <x:c r="E323" s="60" t="str">
        <x:v>اسم</x:v>
      </x:c>
      <x:c r="F323" s="60" t="str">
        <x:v>N</x:v>
      </x:c>
      <x:c r="G323" s="60" t="str">
        <x:v>—</x:v>
      </x:c>
      <x:c r="H323" s="62" t="n">
        <x:v>2</x:v>
      </x:c>
      <x:c r="I323" s="60" t="str">
        <x:v>كُرْهًا، كُرْهٌ</x:v>
      </x:c>
      <x:c r="J323" s="60" t="str">
        <x:v>2:216:5؛ 46:15:7؛ 46:15:9</x:v>
      </x:c>
      <x:c r="K323" s="60" t="str">
        <x:v>مرشح بنيوي؛ لا تُستنتج الدلالة من اللمة وحدها</x:v>
      </x:c>
      <x:c r="L323" s="60" t="str">
        <x:v>https://corpus.quran.com/qurandictionary.jsp?q=krh</x:v>
      </x:c>
    </x:row>
    <x:row r="324">
      <x:c r="A324" s="60" t="str">
        <x:v>ك ر ه</x:v>
      </x:c>
      <x:c r="B324" s="60" t="str">
        <x:v>P2 — شبكات دلالية مركزية</x:v>
      </x:c>
      <x:c r="C324" s="60" t="str">
        <x:v>إِكْراه</x:v>
      </x:c>
      <x:c r="D324" s="62" t="n">
        <x:v>2</x:v>
      </x:c>
      <x:c r="E324" s="60" t="str">
        <x:v>اسم</x:v>
      </x:c>
      <x:c r="F324" s="60" t="str">
        <x:v>N</x:v>
      </x:c>
      <x:c r="G324" s="60" t="str">
        <x:v>4</x:v>
      </x:c>
      <x:c r="H324" s="62" t="n">
        <x:v>2</x:v>
      </x:c>
      <x:c r="I324" s="60" t="str">
        <x:v>إِكْرَاهَ، إِكْرَٰهِهِنَّ</x:v>
      </x:c>
      <x:c r="J324" s="60" t="str">
        <x:v>2:256:2؛ 24:33:46</x:v>
      </x:c>
      <x:c r="K324" s="60" t="str">
        <x:v>مرشح بنيوي؛ لا تُستنتج الدلالة من اللمة وحدها</x:v>
      </x:c>
      <x:c r="L324" s="60" t="str">
        <x:v>https://corpus.quran.com/qurandictionary.jsp?q=krh</x:v>
      </x:c>
    </x:row>
    <x:row r="325">
      <x:c r="A325" s="60" t="str">
        <x:v>ك ر ه</x:v>
      </x:c>
      <x:c r="B325" s="60" t="str">
        <x:v>P2 — شبكات دلالية مركزية</x:v>
      </x:c>
      <x:c r="C325" s="60" t="str">
        <x:v>كَرَّهَ</x:v>
      </x:c>
      <x:c r="D325" s="62" t="n">
        <x:v>1</x:v>
      </x:c>
      <x:c r="E325" s="60" t="str">
        <x:v>فعل</x:v>
      </x:c>
      <x:c r="F325" s="60" t="str">
        <x:v>V</x:v>
      </x:c>
      <x:c r="G325" s="60" t="str">
        <x:v>2</x:v>
      </x:c>
      <x:c r="H325" s="62" t="n">
        <x:v>1</x:v>
      </x:c>
      <x:c r="I325" s="60" t="str">
        <x:v>وَكَرَّهَ</x:v>
      </x:c>
      <x:c r="J325" s="60" t="str">
        <x:v>49:7:21</x:v>
      </x:c>
      <x:c r="K325" s="60" t="str">
        <x:v>مرشح بنيوي؛ لا تُستنتج الدلالة من اللمة وحدها</x:v>
      </x:c>
      <x:c r="L325" s="60" t="str">
        <x:v>https://corpus.quran.com/qurandictionary.jsp?q=krh</x:v>
      </x:c>
    </x:row>
    <x:row r="326">
      <x:c r="A326" s="60" t="str">
        <x:v>ك ر ه</x:v>
      </x:c>
      <x:c r="B326" s="60" t="str">
        <x:v>P2 — شبكات دلالية مركزية</x:v>
      </x:c>
      <x:c r="C326" s="60" t="str">
        <x:v>مَكْرُوه</x:v>
      </x:c>
      <x:c r="D326" s="62" t="n">
        <x:v>1</x:v>
      </x:c>
      <x:c r="E326" s="60" t="str">
        <x:v>اسم</x:v>
      </x:c>
      <x:c r="F326" s="60" t="str">
        <x:v>N</x:v>
      </x:c>
      <x:c r="G326" s="60" t="str">
        <x:v>1</x:v>
      </x:c>
      <x:c r="H326" s="62" t="n">
        <x:v>1</x:v>
      </x:c>
      <x:c r="I326" s="60" t="str">
        <x:v>مَكْرُوهًا</x:v>
      </x:c>
      <x:c r="J326" s="60" t="str">
        <x:v>17:38:7</x:v>
      </x:c>
      <x:c r="K326" s="60" t="str">
        <x:v>مرشح بنيوي؛ لا تُستنتج الدلالة من اللمة وحدها</x:v>
      </x:c>
      <x:c r="L326" s="60" t="str">
        <x:v>https://corpus.quran.com/qurandictionary.jsp?q=krh</x:v>
      </x:c>
    </x:row>
    <x:row r="327">
      <x:c r="A327" s="60" t="str">
        <x:v>ع ف و</x:v>
      </x:c>
      <x:c r="B327" s="60" t="str">
        <x:v>P2 — شبكات دلالية مركزية</x:v>
      </x:c>
      <x:c r="C327" s="60" t="str">
        <x:v>عَفا</x:v>
      </x:c>
      <x:c r="D327" s="62" t="n">
        <x:v>27</x:v>
      </x:c>
      <x:c r="E327" s="60" t="str">
        <x:v>فعل</x:v>
      </x:c>
      <x:c r="F327" s="60" t="str">
        <x:v>V</x:v>
      </x:c>
      <x:c r="G327" s="60" t="str">
        <x:v>1</x:v>
      </x:c>
      <x:c r="H327" s="62" t="n">
        <x:v>18</x:v>
      </x:c>
      <x:c r="I327" s="60" t="str">
        <x:v>عَفَا، وَيَعْفُوا۟، فَٱعْفُ، تَعْفُوا۟، عَفَوْنَا</x:v>
      </x:c>
      <x:c r="J327" s="60" t="str">
        <x:v>2:52:2؛ 2:109:22؛ 2:178:16؛ 2:187:22</x:v>
      </x:c>
      <x:c r="K327" s="60" t="str">
        <x:v>مرشح بنيوي؛ لا تُستنتج الدلالة من اللمة وحدها</x:v>
      </x:c>
      <x:c r="L327" s="60" t="str">
        <x:v>https://corpus.quran.com/qurandictionary.jsp?q=Efw</x:v>
      </x:c>
    </x:row>
    <x:row r="328">
      <x:c r="A328" s="60" t="str">
        <x:v>ع ف و</x:v>
      </x:c>
      <x:c r="B328" s="60" t="str">
        <x:v>P2 — شبكات دلالية مركزية</x:v>
      </x:c>
      <x:c r="C328" s="60" t="str">
        <x:v>عَفُوّ</x:v>
      </x:c>
      <x:c r="D328" s="62" t="n">
        <x:v>5</x:v>
      </x:c>
      <x:c r="E328" s="60" t="str">
        <x:v>اسم</x:v>
      </x:c>
      <x:c r="F328" s="60" t="str">
        <x:v>N</x:v>
      </x:c>
      <x:c r="G328" s="60" t="str">
        <x:v>—</x:v>
      </x:c>
      <x:c r="H328" s="62" t="n">
        <x:v>2</x:v>
      </x:c>
      <x:c r="I328" s="60" t="str">
        <x:v>عَفُوًّا، لَعَفُوٌّ</x:v>
      </x:c>
      <x:c r="J328" s="60" t="str">
        <x:v>4:43:47؛ 4:99:9؛ 4:149:13؛ 22:60:15</x:v>
      </x:c>
      <x:c r="K328" s="60" t="str">
        <x:v>مرشح بنيوي؛ لا تُستنتج الدلالة من اللمة وحدها</x:v>
      </x:c>
      <x:c r="L328" s="60" t="str">
        <x:v>https://corpus.quran.com/qurandictionary.jsp?q=Efw</x:v>
      </x:c>
    </x:row>
    <x:row r="329">
      <x:c r="A329" s="60" t="str">
        <x:v>ع ف و</x:v>
      </x:c>
      <x:c r="B329" s="60" t="str">
        <x:v>P2 — شبكات دلالية مركزية</x:v>
      </x:c>
      <x:c r="C329" s="60" t="str">
        <x:v>عَفْو</x:v>
      </x:c>
      <x:c r="D329" s="62" t="n">
        <x:v>2</x:v>
      </x:c>
      <x:c r="E329" s="60" t="str">
        <x:v>اسم</x:v>
      </x:c>
      <x:c r="F329" s="60" t="str">
        <x:v>N</x:v>
      </x:c>
      <x:c r="G329" s="60" t="str">
        <x:v>—</x:v>
      </x:c>
      <x:c r="H329" s="62" t="n">
        <x:v>1</x:v>
      </x:c>
      <x:c r="I329" s="60" t="str">
        <x:v>ٱلْعَفْوَ</x:v>
      </x:c>
      <x:c r="J329" s="60" t="str">
        <x:v>2:219:19؛ 7:199:2</x:v>
      </x:c>
      <x:c r="K329" s="60" t="str">
        <x:v>مرشح بنيوي؛ لا تُستنتج الدلالة من اللمة وحدها</x:v>
      </x:c>
      <x:c r="L329" s="60" t="str">
        <x:v>https://corpus.quran.com/qurandictionary.jsp?q=Efw</x:v>
      </x:c>
    </x:row>
    <x:row r="330">
      <x:c r="A330" s="60" t="str">
        <x:v>ع ف و</x:v>
      </x:c>
      <x:c r="B330" s="60" t="str">
        <x:v>P2 — شبكات دلالية مركزية</x:v>
      </x:c>
      <x:c r="C330" s="60" t="str">
        <x:v>عافي</x:v>
      </x:c>
      <x:c r="D330" s="62" t="n">
        <x:v>1</x:v>
      </x:c>
      <x:c r="E330" s="60" t="str">
        <x:v>اسم</x:v>
      </x:c>
      <x:c r="F330" s="60" t="str">
        <x:v>N</x:v>
      </x:c>
      <x:c r="G330" s="60" t="str">
        <x:v>1</x:v>
      </x:c>
      <x:c r="H330" s="62" t="n">
        <x:v>1</x:v>
      </x:c>
      <x:c r="I330" s="60" t="str">
        <x:v>وَٱلْعَافِينَ</x:v>
      </x:c>
      <x:c r="J330" s="60" t="str">
        <x:v>3:134:8</x:v>
      </x:c>
      <x:c r="K330" s="60" t="str">
        <x:v>مرشح بنيوي؛ لا تُستنتج الدلالة من اللمة وحدها</x:v>
      </x:c>
      <x:c r="L330" s="60" t="str">
        <x:v>https://corpus.quran.com/qurandictionary.jsp?q=Efw</x:v>
      </x:c>
    </x:row>
    <x:row r="331">
      <x:c r="A331" s="60" t="str">
        <x:v>ع ق ل</x:v>
      </x:c>
      <x:c r="B331" s="60" t="str">
        <x:v>P2 — شبكات دلالية مركزية</x:v>
      </x:c>
      <x:c r="C331" s="60" t="str">
        <x:v>عَقَلُ</x:v>
      </x:c>
      <x:c r="D331" s="62" t="n">
        <x:v>49</x:v>
      </x:c>
      <x:c r="E331" s="60" t="str">
        <x:v>فعل</x:v>
      </x:c>
      <x:c r="F331" s="60" t="str">
        <x:v>V</x:v>
      </x:c>
      <x:c r="G331" s="60" t="str">
        <x:v>1</x:v>
      </x:c>
      <x:c r="H331" s="62" t="n">
        <x:v>5</x:v>
      </x:c>
      <x:c r="I331" s="60" t="str">
        <x:v>تَعْقِلُونَ، يَعْقِلُونَ، عَقَلُوهُ، يَعْقِلُهَآ، نَعْقِلُ</x:v>
      </x:c>
      <x:c r="J331" s="60" t="str">
        <x:v>2:44:10؛ 2:73:11؛ 2:75:17؛ 2:76:23</x:v>
      </x:c>
      <x:c r="K331" s="60" t="str">
        <x:v>مرشح بنيوي؛ لا تُستنتج الدلالة من اللمة وحدها</x:v>
      </x:c>
      <x:c r="L331" s="60" t="str">
        <x:v>https://corpus.quran.com/qurandictionary.jsp?q=Eql</x:v>
      </x:c>
    </x:row>
    <x:row r="332">
      <x:c r="A332" s="60" t="str">
        <x:v>ب ع د</x:v>
      </x:c>
      <x:c r="B332" s="60" t="str">
        <x:v>P3 — جذور تفريق واختبار</x:v>
      </x:c>
      <x:c r="C332" s="60" t="str">
        <x:v>بَعْد</x:v>
      </x:c>
      <x:c r="D332" s="62" t="n">
        <x:v>199</x:v>
      </x:c>
      <x:c r="E332" s="60" t="str">
        <x:v>اسم</x:v>
      </x:c>
      <x:c r="F332" s="60" t="str">
        <x:v>N</x:v>
      </x:c>
      <x:c r="G332" s="60" t="str">
        <x:v>—</x:v>
      </x:c>
      <x:c r="H332" s="62" t="n">
        <x:v>16</x:v>
      </x:c>
      <x:c r="I332" s="60" t="str">
        <x:v>بَعْدِ، بَعْدَ، بَعْدِهِۦ، بَعْدِهِمْ، بَعْدُ</x:v>
      </x:c>
      <x:c r="J332" s="60" t="str">
        <x:v>2:27:6؛ 2:51:10؛ 2:52:5؛ 2:56:4</x:v>
      </x:c>
      <x:c r="K332" s="60" t="str">
        <x:v>مرشح بنيوي؛ لا تُستنتج الدلالة من اللمة وحدها</x:v>
      </x:c>
      <x:c r="L332" s="60" t="str">
        <x:v>https://corpus.quran.com/qurandictionary.jsp?q=bEd</x:v>
      </x:c>
    </x:row>
    <x:row r="333">
      <x:c r="A333" s="60" t="str">
        <x:v>ب ع د</x:v>
      </x:c>
      <x:c r="B333" s="60" t="str">
        <x:v>P3 — جذور تفريق واختبار</x:v>
      </x:c>
      <x:c r="C333" s="60" t="str">
        <x:v>بَعِيد</x:v>
      </x:c>
      <x:c r="D333" s="62" t="n">
        <x:v>25</x:v>
      </x:c>
      <x:c r="E333" s="60" t="str">
        <x:v>اسم</x:v>
      </x:c>
      <x:c r="F333" s="60" t="str">
        <x:v>N</x:v>
      </x:c>
      <x:c r="G333" s="60" t="str">
        <x:v>—</x:v>
      </x:c>
      <x:c r="H333" s="62" t="n">
        <x:v>6</x:v>
      </x:c>
      <x:c r="I333" s="60" t="str">
        <x:v>بَعِيدٍ، بَعِيدًا، بِبَعِيدٍ، ٱلْبَعِيدُ، بَعِيدٌ</x:v>
      </x:c>
      <x:c r="J333" s="60" t="str">
        <x:v>2:176:14؛ 3:30:20؛ 4:60:30؛ 4:116:20</x:v>
      </x:c>
      <x:c r="K333" s="60" t="str">
        <x:v>مرشح بنيوي؛ لا تُستنتج الدلالة من اللمة وحدها</x:v>
      </x:c>
      <x:c r="L333" s="60" t="str">
        <x:v>https://corpus.quran.com/qurandictionary.jsp?q=bEd</x:v>
      </x:c>
    </x:row>
    <x:row r="334">
      <x:c r="A334" s="60" t="str">
        <x:v>ب ع د</x:v>
      </x:c>
      <x:c r="B334" s="60" t="str">
        <x:v>P3 — جذور تفريق واختبار</x:v>
      </x:c>
      <x:c r="C334" s="60" t="str">
        <x:v>بُعْد</x:v>
      </x:c>
      <x:c r="D334" s="62" t="n">
        <x:v>7</x:v>
      </x:c>
      <x:c r="E334" s="60" t="str">
        <x:v>اسم</x:v>
      </x:c>
      <x:c r="F334" s="60" t="str">
        <x:v>N</x:v>
      </x:c>
      <x:c r="G334" s="60" t="str">
        <x:v>—</x:v>
      </x:c>
      <x:c r="H334" s="62" t="n">
        <x:v>3</x:v>
      </x:c>
      <x:c r="I334" s="60" t="str">
        <x:v>بُعْدًا، فَبُعْدًا، بُعْدَ</x:v>
      </x:c>
      <x:c r="J334" s="60" t="str">
        <x:v>11:44:15؛ 11:60:14؛ 11:68:11؛ 11:95:6</x:v>
      </x:c>
      <x:c r="K334" s="60" t="str">
        <x:v>مرشح بنيوي؛ لا تُستنتج الدلالة من اللمة وحدها</x:v>
      </x:c>
      <x:c r="L334" s="60" t="str">
        <x:v>https://corpus.quran.com/qurandictionary.jsp?q=bEd</x:v>
      </x:c>
    </x:row>
    <x:row r="335">
      <x:c r="A335" s="60" t="str">
        <x:v>ب ع د</x:v>
      </x:c>
      <x:c r="B335" s="60" t="str">
        <x:v>P3 — جذور تفريق واختبار</x:v>
      </x:c>
      <x:c r="C335" s="60" t="str">
        <x:v>بَعُدَتْ</x:v>
      </x:c>
      <x:c r="D335" s="62" t="n">
        <x:v>2</x:v>
      </x:c>
      <x:c r="E335" s="60" t="str">
        <x:v>فعل</x:v>
      </x:c>
      <x:c r="F335" s="60" t="str">
        <x:v>V</x:v>
      </x:c>
      <x:c r="G335" s="60" t="str">
        <x:v>1</x:v>
      </x:c>
      <x:c r="H335" s="62" t="n">
        <x:v>2</x:v>
      </x:c>
      <x:c r="I335" s="60" t="str">
        <x:v>بَعُدَتْ، بَعِدَتْ</x:v>
      </x:c>
      <x:c r="J335" s="60" t="str">
        <x:v>9:42:9؛ 11:95:9</x:v>
      </x:c>
      <x:c r="K335" s="60" t="str">
        <x:v>مرشح بنيوي؛ لا تُستنتج الدلالة من اللمة وحدها</x:v>
      </x:c>
      <x:c r="L335" s="60" t="str">
        <x:v>https://corpus.quran.com/qurandictionary.jsp?q=bEd</x:v>
      </x:c>
    </x:row>
    <x:row r="336">
      <x:c r="A336" s="60" t="str">
        <x:v>ب ع د</x:v>
      </x:c>
      <x:c r="B336" s="60" t="str">
        <x:v>P3 — جذور تفريق واختبار</x:v>
      </x:c>
      <x:c r="C336" s="60" t="str">
        <x:v>باعِدْ</x:v>
      </x:c>
      <x:c r="D336" s="62" t="n">
        <x:v>1</x:v>
      </x:c>
      <x:c r="E336" s="60" t="str">
        <x:v>فعل</x:v>
      </x:c>
      <x:c r="F336" s="60" t="str">
        <x:v>V</x:v>
      </x:c>
      <x:c r="G336" s="60" t="str">
        <x:v>3</x:v>
      </x:c>
      <x:c r="H336" s="62" t="n">
        <x:v>1</x:v>
      </x:c>
      <x:c r="I336" s="60" t="str">
        <x:v>بَٰعِدْ</x:v>
      </x:c>
      <x:c r="J336" s="60" t="str">
        <x:v>34:19:3</x:v>
      </x:c>
      <x:c r="K336" s="60" t="str">
        <x:v>مرشح بنيوي؛ لا تُستنتج الدلالة من اللمة وحدها</x:v>
      </x:c>
      <x:c r="L336" s="60" t="str">
        <x:v>https://corpus.quran.com/qurandictionary.jsp?q=bEd</x:v>
      </x:c>
    </x:row>
    <x:row r="337">
      <x:c r="A337" s="60" t="str">
        <x:v>ب ع د</x:v>
      </x:c>
      <x:c r="B337" s="60" t="str">
        <x:v>P3 — جذور تفريق واختبار</x:v>
      </x:c>
      <x:c r="C337" s="60" t="str">
        <x:v>مُبْعَد</x:v>
      </x:c>
      <x:c r="D337" s="62" t="n">
        <x:v>1</x:v>
      </x:c>
      <x:c r="E337" s="60" t="str">
        <x:v>اسم</x:v>
      </x:c>
      <x:c r="F337" s="60" t="str">
        <x:v>N</x:v>
      </x:c>
      <x:c r="G337" s="60" t="str">
        <x:v>4</x:v>
      </x:c>
      <x:c r="H337" s="62" t="n">
        <x:v>1</x:v>
      </x:c>
      <x:c r="I337" s="60" t="str">
        <x:v>مُبْعَدُونَ</x:v>
      </x:c>
      <x:c r="J337" s="60" t="str">
        <x:v>21:101:9</x:v>
      </x:c>
      <x:c r="K337" s="60" t="str">
        <x:v>مرشح بنيوي؛ لا تُستنتج الدلالة من اللمة وحدها</x:v>
      </x:c>
      <x:c r="L337" s="60" t="str">
        <x:v>https://corpus.quran.com/qurandictionary.jsp?q=bEd</x:v>
      </x:c>
    </x:row>
    <x:row r="338">
      <x:c r="A338" s="60" t="str">
        <x:v>ج م ع</x:v>
      </x:c>
      <x:c r="B338" s="60" t="str">
        <x:v>P3 — جذور تفريق واختبار</x:v>
      </x:c>
      <x:c r="C338" s="60" t="str">
        <x:v>جَمِيع</x:v>
      </x:c>
      <x:c r="D338" s="62" t="n">
        <x:v>53</x:v>
      </x:c>
      <x:c r="E338" s="60" t="str">
        <x:v>اسم</x:v>
      </x:c>
      <x:c r="F338" s="60" t="str">
        <x:v>N</x:v>
      </x:c>
      <x:c r="G338" s="60" t="str">
        <x:v>—</x:v>
      </x:c>
      <x:c r="H338" s="62" t="n">
        <x:v>4</x:v>
      </x:c>
      <x:c r="I338" s="60" t="str">
        <x:v>جَمِيعًا، جَمِيعٌ، جَمِيعًۢا، لَجَمِيعٌ</x:v>
      </x:c>
      <x:c r="J338" s="60" t="str">
        <x:v>2:29:8؛ 2:38:4؛ 2:148:13؛ 2:165:27</x:v>
      </x:c>
      <x:c r="K338" s="60" t="str">
        <x:v>مرشح بنيوي؛ لا تُستنتج الدلالة من اللمة وحدها</x:v>
      </x:c>
      <x:c r="L338" s="60" t="str">
        <x:v>https://corpus.quran.com/qurandictionary.jsp?q=jmE</x:v>
      </x:c>
    </x:row>
    <x:row r="339">
      <x:c r="A339" s="60" t="str">
        <x:v>ج م ع</x:v>
      </x:c>
      <x:c r="B339" s="60" t="str">
        <x:v>P3 — جذور تفريق واختبار</x:v>
      </x:c>
      <x:c r="C339" s="60" t="str">
        <x:v>أَجْمَع</x:v>
      </x:c>
      <x:c r="D339" s="62" t="n">
        <x:v>26</x:v>
      </x:c>
      <x:c r="E339" s="60" t="str">
        <x:v>اسم</x:v>
      </x:c>
      <x:c r="F339" s="60" t="str">
        <x:v>N</x:v>
      </x:c>
      <x:c r="G339" s="60" t="str">
        <x:v>—</x:v>
      </x:c>
      <x:c r="H339" s="62" t="n">
        <x:v>2</x:v>
      </x:c>
      <x:c r="I339" s="60" t="str">
        <x:v>أَجْمَعِينَ، أَجْمَعُونَ</x:v>
      </x:c>
      <x:c r="J339" s="60" t="str">
        <x:v>2:161:13؛ 3:87:9؛ 6:149:8؛ 7:18:12</x:v>
      </x:c>
      <x:c r="K339" s="60" t="str">
        <x:v>مرشح بنيوي؛ لا تُستنتج الدلالة من اللمة وحدها</x:v>
      </x:c>
      <x:c r="L339" s="60" t="str">
        <x:v>https://corpus.quran.com/qurandictionary.jsp?q=jmE</x:v>
      </x:c>
    </x:row>
    <x:row r="340">
      <x:c r="A340" s="60" t="str">
        <x:v>ج م ع</x:v>
      </x:c>
      <x:c r="B340" s="60" t="str">
        <x:v>P3 — جذور تفريق واختبار</x:v>
      </x:c>
      <x:c r="C340" s="60" t="str">
        <x:v>جَمَعَ</x:v>
      </x:c>
      <x:c r="D340" s="62" t="n">
        <x:v>22</x:v>
      </x:c>
      <x:c r="E340" s="60" t="str">
        <x:v>فعل</x:v>
      </x:c>
      <x:c r="F340" s="60" t="str">
        <x:v>V</x:v>
      </x:c>
      <x:c r="G340" s="60" t="str">
        <x:v>1</x:v>
      </x:c>
      <x:c r="H340" s="62" t="n">
        <x:v>16</x:v>
      </x:c>
      <x:c r="I340" s="60" t="str">
        <x:v>يَجْمَعُونَ، يَجْمَعُ، لَيَجْمَعَنَّكُمْ، يَجْمَعُكُمْ، جَمَعْنَٰهُمْ</x:v>
      </x:c>
      <x:c r="J340" s="60" t="str">
        <x:v>3:25:3؛ 3:157:14؛ 3:173:8؛ 4:23:43</x:v>
      </x:c>
      <x:c r="K340" s="60" t="str">
        <x:v>مرشح بنيوي؛ لا تُستنتج الدلالة من اللمة وحدها</x:v>
      </x:c>
      <x:c r="L340" s="60" t="str">
        <x:v>https://corpus.quran.com/qurandictionary.jsp?q=jmE</x:v>
      </x:c>
    </x:row>
    <x:row r="341">
      <x:c r="A341" s="60" t="str">
        <x:v>ج م ع</x:v>
      </x:c>
      <x:c r="B341" s="60" t="str">
        <x:v>P3 — جذور تفريق واختبار</x:v>
      </x:c>
      <x:c r="C341" s="60" t="str">
        <x:v>جَمْع</x:v>
      </x:c>
      <x:c r="D341" s="62" t="n">
        <x:v>13</x:v>
      </x:c>
      <x:c r="E341" s="60" t="str">
        <x:v>اسم</x:v>
      </x:c>
      <x:c r="F341" s="60" t="str">
        <x:v>N</x:v>
      </x:c>
      <x:c r="G341" s="60" t="str">
        <x:v>—</x:v>
      </x:c>
      <x:c r="H341" s="62" t="n">
        <x:v>7</x:v>
      </x:c>
      <x:c r="I341" s="60" t="str">
        <x:v>ٱلْجَمْعَانِ، جَمْعًا، ٱلْجَمْعِ، جَمْعُكُمْ، جَمْعِهِمْ</x:v>
      </x:c>
      <x:c r="J341" s="60" t="str">
        <x:v>3:155:7؛ 3:166:5؛ 7:48:11؛ 8:41:28</x:v>
      </x:c>
      <x:c r="K341" s="60" t="str">
        <x:v>مرشح بنيوي؛ لا تُستنتج الدلالة من اللمة وحدها</x:v>
      </x:c>
      <x:c r="L341" s="60" t="str">
        <x:v>https://corpus.quran.com/qurandictionary.jsp?q=jmE</x:v>
      </x:c>
    </x:row>
    <x:row r="342">
      <x:c r="A342" s="60" t="str">
        <x:v>ج م ع</x:v>
      </x:c>
      <x:c r="B342" s="60" t="str">
        <x:v>P3 — جذور تفريق واختبار</x:v>
      </x:c>
      <x:c r="C342" s="60" t="str">
        <x:v>أَجْمَعُ</x:v>
      </x:c>
      <x:c r="D342" s="62" t="n">
        <x:v>4</x:v>
      </x:c>
      <x:c r="E342" s="60" t="str">
        <x:v>فعل</x:v>
      </x:c>
      <x:c r="F342" s="60" t="str">
        <x:v>V</x:v>
      </x:c>
      <x:c r="G342" s="60" t="str">
        <x:v>4</x:v>
      </x:c>
      <x:c r="H342" s="62" t="n">
        <x:v>4</x:v>
      </x:c>
      <x:c r="I342" s="60" t="str">
        <x:v>فَأَجْمِعُوٓا۟، وَأَجْمَعُوٓا۟، أَجْمَعُوٓا۟، فَأَجْمِعُوا۟</x:v>
      </x:c>
      <x:c r="J342" s="60" t="str">
        <x:v>10:71:20؛ 12:15:4؛ 12:102:11؛ 20:64:1</x:v>
      </x:c>
      <x:c r="K342" s="60" t="str">
        <x:v>مرشح بنيوي؛ لا تُستنتج الدلالة من اللمة وحدها</x:v>
      </x:c>
      <x:c r="L342" s="60" t="str">
        <x:v>https://corpus.quran.com/qurandictionary.jsp?q=jmE</x:v>
      </x:c>
    </x:row>
    <x:row r="343">
      <x:c r="A343" s="60" t="str">
        <x:v>ج م ع</x:v>
      </x:c>
      <x:c r="B343" s="60" t="str">
        <x:v>P3 — جذور تفريق واختبار</x:v>
      </x:c>
      <x:c r="C343" s="60" t="str">
        <x:v>جامِع</x:v>
      </x:c>
      <x:c r="D343" s="62" t="n">
        <x:v>3</x:v>
      </x:c>
      <x:c r="E343" s="60" t="str">
        <x:v>اسم</x:v>
      </x:c>
      <x:c r="F343" s="60" t="str">
        <x:v>N</x:v>
      </x:c>
      <x:c r="G343" s="60" t="str">
        <x:v>1</x:v>
      </x:c>
      <x:c r="H343" s="62" t="n">
        <x:v>2</x:v>
      </x:c>
      <x:c r="I343" s="60" t="str">
        <x:v>جَامِعُ، جَامِعٍ</x:v>
      </x:c>
      <x:c r="J343" s="60" t="str">
        <x:v>3:9:3؛ 4:140:28؛ 24:62:12</x:v>
      </x:c>
      <x:c r="K343" s="60" t="str">
        <x:v>مرشح بنيوي؛ لا تُستنتج الدلالة من اللمة وحدها</x:v>
      </x:c>
      <x:c r="L343" s="60" t="str">
        <x:v>https://corpus.quran.com/qurandictionary.jsp?q=jmE</x:v>
      </x:c>
    </x:row>
    <x:row r="344">
      <x:c r="A344" s="60" t="str">
        <x:v>ج م ع</x:v>
      </x:c>
      <x:c r="B344" s="60" t="str">
        <x:v>P3 — جذور تفريق واختبار</x:v>
      </x:c>
      <x:c r="C344" s="60" t="str">
        <x:v>اجْتَمَعُ</x:v>
      </x:c>
      <x:c r="D344" s="62" t="n">
        <x:v>2</x:v>
      </x:c>
      <x:c r="E344" s="60" t="str">
        <x:v>فعل</x:v>
      </x:c>
      <x:c r="F344" s="60" t="str">
        <x:v>V</x:v>
      </x:c>
      <x:c r="G344" s="60" t="str">
        <x:v>8</x:v>
      </x:c>
      <x:c r="H344" s="62" t="n">
        <x:v>2</x:v>
      </x:c>
      <x:c r="I344" s="60" t="str">
        <x:v>ٱجْتَمَعَتِ، ٱجْتَمَعُوا۟</x:v>
      </x:c>
      <x:c r="J344" s="60" t="str">
        <x:v>17:88:3؛ 22:73:17</x:v>
      </x:c>
      <x:c r="K344" s="60" t="str">
        <x:v>مرشح بنيوي؛ لا تُستنتج الدلالة من اللمة وحدها</x:v>
      </x:c>
      <x:c r="L344" s="60" t="str">
        <x:v>https://corpus.quran.com/qurandictionary.jsp?q=jmE</x:v>
      </x:c>
    </x:row>
    <x:row r="345">
      <x:c r="A345" s="60" t="str">
        <x:v>ج م ع</x:v>
      </x:c>
      <x:c r="B345" s="60" t="str">
        <x:v>P3 — جذور تفريق واختبار</x:v>
      </x:c>
      <x:c r="C345" s="60" t="str">
        <x:v>مَجْمَع</x:v>
      </x:c>
      <x:c r="D345" s="62" t="n">
        <x:v>2</x:v>
      </x:c>
      <x:c r="E345" s="60" t="str">
        <x:v>اسم</x:v>
      </x:c>
      <x:c r="F345" s="60" t="str">
        <x:v>N</x:v>
      </x:c>
      <x:c r="G345" s="60" t="str">
        <x:v>—</x:v>
      </x:c>
      <x:c r="H345" s="62" t="n">
        <x:v>1</x:v>
      </x:c>
      <x:c r="I345" s="60" t="str">
        <x:v>مَجْمَعَ</x:v>
      </x:c>
      <x:c r="J345" s="60" t="str">
        <x:v>18:60:9؛ 18:61:3</x:v>
      </x:c>
      <x:c r="K345" s="60" t="str">
        <x:v>مرشح بنيوي؛ لا تُستنتج الدلالة من اللمة وحدها</x:v>
      </x:c>
      <x:c r="L345" s="60" t="str">
        <x:v>https://corpus.quran.com/qurandictionary.jsp?q=jmE</x:v>
      </x:c>
    </x:row>
    <x:row r="346">
      <x:c r="A346" s="60" t="str">
        <x:v>ج م ع</x:v>
      </x:c>
      <x:c r="B346" s="60" t="str">
        <x:v>P3 — جذور تفريق واختبار</x:v>
      </x:c>
      <x:c r="C346" s="60" t="str">
        <x:v>مَجْمُوع</x:v>
      </x:c>
      <x:c r="D346" s="62" t="n">
        <x:v>2</x:v>
      </x:c>
      <x:c r="E346" s="60" t="str">
        <x:v>اسم</x:v>
      </x:c>
      <x:c r="F346" s="60" t="str">
        <x:v>N</x:v>
      </x:c>
      <x:c r="G346" s="60" t="str">
        <x:v>1</x:v>
      </x:c>
      <x:c r="H346" s="62" t="n">
        <x:v>2</x:v>
      </x:c>
      <x:c r="I346" s="60" t="str">
        <x:v>مَّجْمُوعٌ، لَمَجْمُوعُونَ</x:v>
      </x:c>
      <x:c r="J346" s="60" t="str">
        <x:v>11:103:11؛ 56:50:1</x:v>
      </x:c>
      <x:c r="K346" s="60" t="str">
        <x:v>مرشح بنيوي؛ لا تُستنتج الدلالة من اللمة وحدها</x:v>
      </x:c>
      <x:c r="L346" s="60" t="str">
        <x:v>https://corpus.quran.com/qurandictionary.jsp?q=jmE</x:v>
      </x:c>
    </x:row>
    <x:row r="347">
      <x:c r="A347" s="60" t="str">
        <x:v>ج م ع</x:v>
      </x:c>
      <x:c r="B347" s="60" t="str">
        <x:v>P3 — جذور تفريق واختبار</x:v>
      </x:c>
      <x:c r="C347" s="60" t="str">
        <x:v>جُمُعَة</x:v>
      </x:c>
      <x:c r="D347" s="62" t="n">
        <x:v>1</x:v>
      </x:c>
      <x:c r="E347" s="60" t="str">
        <x:v>اسم</x:v>
      </x:c>
      <x:c r="F347" s="60" t="str">
        <x:v>N</x:v>
      </x:c>
      <x:c r="G347" s="60" t="str">
        <x:v>—</x:v>
      </x:c>
      <x:c r="H347" s="62" t="n">
        <x:v>1</x:v>
      </x:c>
      <x:c r="I347" s="60" t="str">
        <x:v>ٱلْجُمُعَةِ</x:v>
      </x:c>
      <x:c r="J347" s="60" t="str">
        <x:v>62:9:9</x:v>
      </x:c>
      <x:c r="K347" s="60" t="str">
        <x:v>مرشح بنيوي؛ لا تُستنتج الدلالة من اللمة وحدها</x:v>
      </x:c>
      <x:c r="L347" s="60" t="str">
        <x:v>https://corpus.quran.com/qurandictionary.jsp?q=jmE</x:v>
      </x:c>
    </x:row>
    <x:row r="348">
      <x:c r="A348" s="60" t="str">
        <x:v>ج م ع</x:v>
      </x:c>
      <x:c r="B348" s="60" t="str">
        <x:v>P3 — جذور تفريق واختبار</x:v>
      </x:c>
      <x:c r="C348" s="60" t="str">
        <x:v>مُجْتَمِع</x:v>
      </x:c>
      <x:c r="D348" s="62" t="n">
        <x:v>1</x:v>
      </x:c>
      <x:c r="E348" s="60" t="str">
        <x:v>اسم</x:v>
      </x:c>
      <x:c r="F348" s="60" t="str">
        <x:v>N</x:v>
      </x:c>
      <x:c r="G348" s="60" t="str">
        <x:v>8</x:v>
      </x:c>
      <x:c r="H348" s="62" t="n">
        <x:v>1</x:v>
      </x:c>
      <x:c r="I348" s="60" t="str">
        <x:v>مُّجْتَمِعُونَ</x:v>
      </x:c>
      <x:c r="J348" s="60" t="str">
        <x:v>26:39:5</x:v>
      </x:c>
      <x:c r="K348" s="60" t="str">
        <x:v>مرشح بنيوي؛ لا تُستنتج الدلالة من اللمة وحدها</x:v>
      </x:c>
      <x:c r="L348" s="60" t="str">
        <x:v>https://corpus.quran.com/qurandictionary.jsp?q=jmE</x:v>
      </x:c>
    </x:row>
    <x:row r="349">
      <x:c r="A349" s="60" t="str">
        <x:v>ق ر ب</x:v>
      </x:c>
      <x:c r="B349" s="60" t="str">
        <x:v>P3 — جذور تفريق واختبار</x:v>
      </x:c>
      <x:c r="C349" s="60" t="str">
        <x:v>قَرِيب</x:v>
      </x:c>
      <x:c r="D349" s="62" t="n">
        <x:v>26</x:v>
      </x:c>
      <x:c r="E349" s="60" t="str">
        <x:v>اسم</x:v>
      </x:c>
      <x:c r="F349" s="60" t="str">
        <x:v>N</x:v>
      </x:c>
      <x:c r="G349" s="60" t="str">
        <x:v>—</x:v>
      </x:c>
      <x:c r="H349" s="62" t="n">
        <x:v>5</x:v>
      </x:c>
      <x:c r="I349" s="60" t="str">
        <x:v>قَرِيبًا، قَرِيبٌ، قَرِيبٍ، أَقَرِيبٌ، بِقَرِيبٍ</x:v>
      </x:c>
      <x:c r="J349" s="60" t="str">
        <x:v>2:186:6؛ 2:214:30؛ 4:17:12؛ 4:77:37</x:v>
      </x:c>
      <x:c r="K349" s="60" t="str">
        <x:v>مرشح بنيوي؛ لا تُستنتج الدلالة من اللمة وحدها</x:v>
      </x:c>
      <x:c r="L349" s="60" t="str">
        <x:v>https://corpus.quran.com/qurandictionary.jsp?q=qrb</x:v>
      </x:c>
    </x:row>
    <x:row r="350">
      <x:c r="A350" s="60" t="str">
        <x:v>ق ر ب</x:v>
      </x:c>
      <x:c r="B350" s="60" t="str">
        <x:v>P3 — جذور تفريق واختبار</x:v>
      </x:c>
      <x:c r="C350" s="60" t="str">
        <x:v>أَقْرَب</x:v>
      </x:c>
      <x:c r="D350" s="62" t="n">
        <x:v>19</x:v>
      </x:c>
      <x:c r="E350" s="60" t="str">
        <x:v>اسم</x:v>
      </x:c>
      <x:c r="F350" s="60" t="str">
        <x:v>N</x:v>
      </x:c>
      <x:c r="G350" s="60" t="str">
        <x:v>—</x:v>
      </x:c>
      <x:c r="H350" s="62" t="n">
        <x:v>7</x:v>
      </x:c>
      <x:c r="I350" s="60" t="str">
        <x:v>أَقْرَبُ، وَٱلْأَقْرَبِينَ، وَٱلْأَقْرَبُونَ، أَقْرَبَهُم، لِأَقْرَبَ</x:v>
      </x:c>
      <x:c r="J350" s="60" t="str">
        <x:v>2:180:12؛ 2:215:10؛ 2:237:25؛ 3:167:21</x:v>
      </x:c>
      <x:c r="K350" s="60" t="str">
        <x:v>مرشح بنيوي؛ لا تُستنتج الدلالة من اللمة وحدها</x:v>
      </x:c>
      <x:c r="L350" s="60" t="str">
        <x:v>https://corpus.quran.com/qurandictionary.jsp?q=qrb</x:v>
      </x:c>
    </x:row>
    <x:row r="351">
      <x:c r="A351" s="60" t="str">
        <x:v>ق ر ب</x:v>
      </x:c>
      <x:c r="B351" s="60" t="str">
        <x:v>P3 — جذور تفريق واختبار</x:v>
      </x:c>
      <x:c r="C351" s="60" t="str">
        <x:v>قُرْبَى</x:v>
      </x:c>
      <x:c r="D351" s="62" t="n">
        <x:v>16</x:v>
      </x:c>
      <x:c r="E351" s="60" t="str">
        <x:v>اسم</x:v>
      </x:c>
      <x:c r="F351" s="60" t="str">
        <x:v>N</x:v>
      </x:c>
      <x:c r="G351" s="60" t="str">
        <x:v>—</x:v>
      </x:c>
      <x:c r="H351" s="62" t="n">
        <x:v>3</x:v>
      </x:c>
      <x:c r="I351" s="60" t="str">
        <x:v>ٱلْقُرْبَىٰ، قُرْبَىٰ، قُرْبَىٰٓ</x:v>
      </x:c>
      <x:c r="J351" s="60" t="str">
        <x:v>2:83:13؛ 2:177:24؛ 4:8:5؛ 4:36:10</x:v>
      </x:c>
      <x:c r="K351" s="60" t="str">
        <x:v>مرشح بنيوي؛ لا تُستنتج الدلالة من اللمة وحدها</x:v>
      </x:c>
      <x:c r="L351" s="60" t="str">
        <x:v>https://corpus.quran.com/qurandictionary.jsp?q=qrb</x:v>
      </x:c>
    </x:row>
    <x:row r="352">
      <x:c r="A352" s="60" t="str">
        <x:v>ق ر ب</x:v>
      </x:c>
      <x:c r="B352" s="60" t="str">
        <x:v>P3 — جذور تفريق واختبار</x:v>
      </x:c>
      <x:c r="C352" s="60" t="str">
        <x:v>يَقْرَبُ</x:v>
      </x:c>
      <x:c r="D352" s="62" t="n">
        <x:v>11</x:v>
      </x:c>
      <x:c r="E352" s="60" t="str">
        <x:v>فعل</x:v>
      </x:c>
      <x:c r="F352" s="60" t="str">
        <x:v>V</x:v>
      </x:c>
      <x:c r="G352" s="60" t="str">
        <x:v>1</x:v>
      </x:c>
      <x:c r="H352" s="62" t="n">
        <x:v>6</x:v>
      </x:c>
      <x:c r="I352" s="60" t="str">
        <x:v>تَقْرَبُوا۟، تَقْرَبَا، تَقْرَبُوهَا، تَقْرَبُوهُنَّ، يَقْرَبُوا۟</x:v>
      </x:c>
      <x:c r="J352" s="60" t="str">
        <x:v>2:35:13؛ 2:187:58؛ 2:222:12؛ 4:43:5</x:v>
      </x:c>
      <x:c r="K352" s="60" t="str">
        <x:v>مرشح بنيوي؛ لا تُستنتج الدلالة من اللمة وحدها</x:v>
      </x:c>
      <x:c r="L352" s="60" t="str">
        <x:v>https://corpus.quran.com/qurandictionary.jsp?q=qrb</x:v>
      </x:c>
    </x:row>
    <x:row r="353">
      <x:c r="A353" s="60" t="str">
        <x:v>ق ر ب</x:v>
      </x:c>
      <x:c r="B353" s="60" t="str">
        <x:v>P3 — جذور تفريق واختبار</x:v>
      </x:c>
      <x:c r="C353" s="60" t="str">
        <x:v>مُقَرَّب</x:v>
      </x:c>
      <x:c r="D353" s="62" t="n">
        <x:v>8</x:v>
      </x:c>
      <x:c r="E353" s="60" t="str">
        <x:v>اسم</x:v>
      </x:c>
      <x:c r="F353" s="60" t="str">
        <x:v>N</x:v>
      </x:c>
      <x:c r="G353" s="60" t="str">
        <x:v>2</x:v>
      </x:c>
      <x:c r="H353" s="62" t="n">
        <x:v>2</x:v>
      </x:c>
      <x:c r="I353" s="60" t="str">
        <x:v>ٱلْمُقَرَّبِينَ، ٱلْمُقَرَّبُونَ</x:v>
      </x:c>
      <x:c r="J353" s="60" t="str">
        <x:v>3:45:20؛ 4:172:10؛ 7:114:5؛ 26:42:6</x:v>
      </x:c>
      <x:c r="K353" s="60" t="str">
        <x:v>مرشح بنيوي؛ لا تُستنتج الدلالة من اللمة وحدها</x:v>
      </x:c>
      <x:c r="L353" s="60" t="str">
        <x:v>https://corpus.quran.com/qurandictionary.jsp?q=qrb</x:v>
      </x:c>
    </x:row>
    <x:row r="354">
      <x:c r="A354" s="60" t="str">
        <x:v>ق ر ب</x:v>
      </x:c>
      <x:c r="B354" s="60" t="str">
        <x:v>P3 — جذور تفريق واختبار</x:v>
      </x:c>
      <x:c r="C354" s="60" t="str">
        <x:v>اقْتَرَبَ</x:v>
      </x:c>
      <x:c r="D354" s="62" t="n">
        <x:v>5</x:v>
      </x:c>
      <x:c r="E354" s="60" t="str">
        <x:v>فعل</x:v>
      </x:c>
      <x:c r="F354" s="60" t="str">
        <x:v>V</x:v>
      </x:c>
      <x:c r="G354" s="60" t="str">
        <x:v>8</x:v>
      </x:c>
      <x:c r="H354" s="62" t="n">
        <x:v>4</x:v>
      </x:c>
      <x:c r="I354" s="60" t="str">
        <x:v>ٱقْتَرَبَ، وَٱقْتَرَبَ، ٱقْتَرَبَتِ، وَٱقْتَرِب</x:v>
      </x:c>
      <x:c r="J354" s="60" t="str">
        <x:v>7:185:17؛ 21:1:1؛ 21:97:1؛ 54:1:1</x:v>
      </x:c>
      <x:c r="K354" s="60" t="str">
        <x:v>مرشح بنيوي؛ لا تُستنتج الدلالة من اللمة وحدها</x:v>
      </x:c>
      <x:c r="L354" s="60" t="str">
        <x:v>https://corpus.quran.com/qurandictionary.jsp?q=qrb</x:v>
      </x:c>
    </x:row>
    <x:row r="355">
      <x:c r="A355" s="60" t="str">
        <x:v>ق ر ب</x:v>
      </x:c>
      <x:c r="B355" s="60" t="str">
        <x:v>P3 — جذور تفريق واختبار</x:v>
      </x:c>
      <x:c r="C355" s="60" t="str">
        <x:v>قَرَّبَ</x:v>
      </x:c>
      <x:c r="D355" s="62" t="n">
        <x:v>5</x:v>
      </x:c>
      <x:c r="E355" s="60" t="str">
        <x:v>فعل</x:v>
      </x:c>
      <x:c r="F355" s="60" t="str">
        <x:v>V</x:v>
      </x:c>
      <x:c r="G355" s="60" t="str">
        <x:v>2</x:v>
      </x:c>
      <x:c r="H355" s="62" t="n">
        <x:v>5</x:v>
      </x:c>
      <x:c r="I355" s="60" t="str">
        <x:v>قَرَّبَا، وَقَرَّبْنَٰهُ، تُقَرِّبُكُمْ، لِيُقَرِّبُونَآ، فَقَرَّبَهُۥٓ</x:v>
      </x:c>
      <x:c r="J355" s="60" t="str">
        <x:v>5:27:8؛ 19:52:6؛ 34:37:6؛ 39:3:13</x:v>
      </x:c>
      <x:c r="K355" s="60" t="str">
        <x:v>مرشح بنيوي؛ لا تُستنتج الدلالة من اللمة وحدها</x:v>
      </x:c>
      <x:c r="L355" s="60" t="str">
        <x:v>https://corpus.quran.com/qurandictionary.jsp?q=qrb</x:v>
      </x:c>
    </x:row>
    <x:row r="356">
      <x:c r="A356" s="60" t="str">
        <x:v>ق ر ب</x:v>
      </x:c>
      <x:c r="B356" s="60" t="str">
        <x:v>P3 — جذور تفريق واختبار</x:v>
      </x:c>
      <x:c r="C356" s="60" t="str">
        <x:v>قُرْبان</x:v>
      </x:c>
      <x:c r="D356" s="62" t="n">
        <x:v>3</x:v>
      </x:c>
      <x:c r="E356" s="60" t="str">
        <x:v>اسم</x:v>
      </x:c>
      <x:c r="F356" s="60" t="str">
        <x:v>N</x:v>
      </x:c>
      <x:c r="G356" s="60" t="str">
        <x:v>—</x:v>
      </x:c>
      <x:c r="H356" s="62" t="n">
        <x:v>2</x:v>
      </x:c>
      <x:c r="I356" s="60" t="str">
        <x:v>قُرْبَانًا، بِقُرْبَانٍ</x:v>
      </x:c>
      <x:c r="J356" s="60" t="str">
        <x:v>3:183:12؛ 5:27:9؛ 46:28:8</x:v>
      </x:c>
      <x:c r="K356" s="60" t="str">
        <x:v>مرشح بنيوي؛ لا تُستنتج الدلالة من اللمة وحدها</x:v>
      </x:c>
      <x:c r="L356" s="60" t="str">
        <x:v>https://corpus.quran.com/qurandictionary.jsp?q=qrb</x:v>
      </x:c>
    </x:row>
    <x:row r="357">
      <x:c r="A357" s="60" t="str">
        <x:v>ق ر ب</x:v>
      </x:c>
      <x:c r="B357" s="60" t="str">
        <x:v>P3 — جذور تفريق واختبار</x:v>
      </x:c>
      <x:c r="C357" s="60" t="str">
        <x:v>قُرُبَة</x:v>
      </x:c>
      <x:c r="D357" s="62" t="n">
        <x:v>1</x:v>
      </x:c>
      <x:c r="E357" s="60" t="str">
        <x:v>اسم</x:v>
      </x:c>
      <x:c r="F357" s="60" t="str">
        <x:v>N</x:v>
      </x:c>
      <x:c r="G357" s="60" t="str">
        <x:v>—</x:v>
      </x:c>
      <x:c r="H357" s="62" t="n">
        <x:v>1</x:v>
      </x:c>
      <x:c r="I357" s="60" t="str">
        <x:v>قُرُبَٰتٍ</x:v>
      </x:c>
      <x:c r="J357" s="60" t="str">
        <x:v>9:99:11</x:v>
      </x:c>
      <x:c r="K357" s="60" t="str">
        <x:v>مرشح بنيوي؛ لا تُستنتج الدلالة من اللمة وحدها</x:v>
      </x:c>
      <x:c r="L357" s="60" t="str">
        <x:v>https://corpus.quran.com/qurandictionary.jsp?q=qrb</x:v>
      </x:c>
    </x:row>
    <x:row r="358">
      <x:c r="A358" s="60" t="str">
        <x:v>ق ر ب</x:v>
      </x:c>
      <x:c r="B358" s="60" t="str">
        <x:v>P3 — جذور تفريق واختبار</x:v>
      </x:c>
      <x:c r="C358" s="60" t="str">
        <x:v>قُرْبَة</x:v>
      </x:c>
      <x:c r="D358" s="62" t="n">
        <x:v>1</x:v>
      </x:c>
      <x:c r="E358" s="60" t="str">
        <x:v>اسم</x:v>
      </x:c>
      <x:c r="F358" s="60" t="str">
        <x:v>N</x:v>
      </x:c>
      <x:c r="G358" s="60" t="str">
        <x:v>—</x:v>
      </x:c>
      <x:c r="H358" s="62" t="n">
        <x:v>1</x:v>
      </x:c>
      <x:c r="I358" s="60" t="str">
        <x:v>قُرْبَةٌ</x:v>
      </x:c>
      <x:c r="J358" s="60" t="str">
        <x:v>9:99:18</x:v>
      </x:c>
      <x:c r="K358" s="60" t="str">
        <x:v>مرشح بنيوي؛ لا تُستنتج الدلالة من اللمة وحدها</x:v>
      </x:c>
      <x:c r="L358" s="60" t="str">
        <x:v>https://corpus.quran.com/qurandictionary.jsp?q=qrb</x:v>
      </x:c>
    </x:row>
    <x:row r="359">
      <x:c r="A359" s="60" t="str">
        <x:v>ق ر ب</x:v>
      </x:c>
      <x:c r="B359" s="60" t="str">
        <x:v>P3 — جذور تفريق واختبار</x:v>
      </x:c>
      <x:c r="C359" s="60" t="str">
        <x:v>مَقْرَبَة</x:v>
      </x:c>
      <x:c r="D359" s="62" t="n">
        <x:v>1</x:v>
      </x:c>
      <x:c r="E359" s="60" t="str">
        <x:v>اسم</x:v>
      </x:c>
      <x:c r="F359" s="60" t="str">
        <x:v>N</x:v>
      </x:c>
      <x:c r="G359" s="60" t="str">
        <x:v>—</x:v>
      </x:c>
      <x:c r="H359" s="62" t="n">
        <x:v>1</x:v>
      </x:c>
      <x:c r="I359" s="60" t="str">
        <x:v>مَقْرَبَةٍ</x:v>
      </x:c>
      <x:c r="J359" s="60" t="str">
        <x:v>90:15:3</x:v>
      </x:c>
      <x:c r="K359" s="60" t="str">
        <x:v>مرشح بنيوي؛ لا تُستنتج الدلالة من اللمة وحدها</x:v>
      </x:c>
      <x:c r="L359" s="60" t="str">
        <x:v>https://corpus.quran.com/qurandictionary.jsp?q=qrb</x:v>
      </x:c>
    </x:row>
    <x:row r="360">
      <x:c r="A360" s="60" t="str">
        <x:v>ع ر ض</x:v>
      </x:c>
      <x:c r="B360" s="60" t="str">
        <x:v>P3 — جذور تفريق واختبار</x:v>
      </x:c>
      <x:c r="C360" s="60" t="str">
        <x:v>أَعْرَضَ</x:v>
      </x:c>
      <x:c r="D360" s="62" t="n">
        <x:v>32</x:v>
      </x:c>
      <x:c r="E360" s="60" t="str">
        <x:v>فعل</x:v>
      </x:c>
      <x:c r="F360" s="60" t="str">
        <x:v>V</x:v>
      </x:c>
      <x:c r="G360" s="60" t="str">
        <x:v>4</x:v>
      </x:c>
      <x:c r="H360" s="62" t="n">
        <x:v>16</x:v>
      </x:c>
      <x:c r="I360" s="60" t="str">
        <x:v>فَأَعْرِضْ، أَعْرَضَ، أَعْرِضْ، وَأَعْرِضْ، أَعْرَضُوا۟</x:v>
      </x:c>
      <x:c r="J360" s="60" t="str">
        <x:v>4:16:8؛ 4:63:8؛ 4:81:17؛ 4:135:31</x:v>
      </x:c>
      <x:c r="K360" s="60" t="str">
        <x:v>مرشح بنيوي؛ لا تُستنتج الدلالة من اللمة وحدها</x:v>
      </x:c>
      <x:c r="L360" s="60" t="str">
        <x:v>https://corpus.quran.com/qurandictionary.jsp?q=ErD</x:v>
      </x:c>
    </x:row>
    <x:row r="361">
      <x:c r="A361" s="60" t="str">
        <x:v>ع ر ض</x:v>
      </x:c>
      <x:c r="B361" s="60" t="str">
        <x:v>P3 — جذور تفريق واختبار</x:v>
      </x:c>
      <x:c r="C361" s="60" t="str">
        <x:v>مُعْرِض</x:v>
      </x:c>
      <x:c r="D361" s="62" t="n">
        <x:v>19</x:v>
      </x:c>
      <x:c r="E361" s="60" t="str">
        <x:v>اسم</x:v>
      </x:c>
      <x:c r="F361" s="60" t="str">
        <x:v>N</x:v>
      </x:c>
      <x:c r="G361" s="60" t="str">
        <x:v>4</x:v>
      </x:c>
      <x:c r="H361" s="62" t="n">
        <x:v>3</x:v>
      </x:c>
      <x:c r="I361" s="60" t="str">
        <x:v>مُّعْرِضُونَ، مُعْرِضِينَ، مُعْرِضُونَ</x:v>
      </x:c>
      <x:c r="J361" s="60" t="str">
        <x:v>2:83:29؛ 3:23:20؛ 6:4:11؛ 8:23:11</x:v>
      </x:c>
      <x:c r="K361" s="60" t="str">
        <x:v>مرشح بنيوي؛ لا تُستنتج الدلالة من اللمة وحدها</x:v>
      </x:c>
      <x:c r="L361" s="60" t="str">
        <x:v>https://corpus.quran.com/qurandictionary.jsp?q=ErD</x:v>
      </x:c>
    </x:row>
    <x:row r="362">
      <x:c r="A362" s="60" t="str">
        <x:v>ع ر ض</x:v>
      </x:c>
      <x:c r="B362" s="60" t="str">
        <x:v>P3 — جذور تفريق واختبار</x:v>
      </x:c>
      <x:c r="C362" s="60" t="str">
        <x:v>عَرَضَ</x:v>
      </x:c>
      <x:c r="D362" s="62" t="n">
        <x:v>11</x:v>
      </x:c>
      <x:c r="E362" s="60" t="str">
        <x:v>فعل</x:v>
      </x:c>
      <x:c r="F362" s="60" t="str">
        <x:v>V</x:v>
      </x:c>
      <x:c r="G362" s="60" t="str">
        <x:v>1</x:v>
      </x:c>
      <x:c r="H362" s="62" t="n">
        <x:v>8</x:v>
      </x:c>
      <x:c r="I362" s="60" t="str">
        <x:v>يُعْرَضُونَ، يُعْرَضُ، عَرَضَهُمْ، وَعُرِضُوا۟، وَعَرَضْنَا</x:v>
      </x:c>
      <x:c r="J362" s="60" t="str">
        <x:v>2:31:6؛ 11:18:9؛ 18:48:1؛ 18:100:1</x:v>
      </x:c>
      <x:c r="K362" s="60" t="str">
        <x:v>مرشح بنيوي؛ لا تُستنتج الدلالة من اللمة وحدها</x:v>
      </x:c>
      <x:c r="L362" s="60" t="str">
        <x:v>https://corpus.quran.com/qurandictionary.jsp?q=ErD</x:v>
      </x:c>
    </x:row>
    <x:row r="363">
      <x:c r="A363" s="60" t="str">
        <x:v>ع ر ض</x:v>
      </x:c>
      <x:c r="B363" s="60" t="str">
        <x:v>P3 — جذور تفريق واختبار</x:v>
      </x:c>
      <x:c r="C363" s="60" t="str">
        <x:v>عَرَض</x:v>
      </x:c>
      <x:c r="D363" s="62" t="n">
        <x:v>6</x:v>
      </x:c>
      <x:c r="E363" s="60" t="str">
        <x:v>اسم</x:v>
      </x:c>
      <x:c r="F363" s="60" t="str">
        <x:v>N</x:v>
      </x:c>
      <x:c r="G363" s="60" t="str">
        <x:v>—</x:v>
      </x:c>
      <x:c r="H363" s="62" t="n">
        <x:v>3</x:v>
      </x:c>
      <x:c r="I363" s="60" t="str">
        <x:v>عَرَضَ، عَرَضٌ، عَرَضًا</x:v>
      </x:c>
      <x:c r="J363" s="60" t="str">
        <x:v>4:94:19؛ 7:169:8؛ 7:169:16؛ 8:67:13</x:v>
      </x:c>
      <x:c r="K363" s="60" t="str">
        <x:v>مرشح بنيوي؛ لا تُستنتج الدلالة من اللمة وحدها</x:v>
      </x:c>
      <x:c r="L363" s="60" t="str">
        <x:v>https://corpus.quran.com/qurandictionary.jsp?q=ErD</x:v>
      </x:c>
    </x:row>
    <x:row r="364">
      <x:c r="A364" s="60" t="str">
        <x:v>ع ر ض</x:v>
      </x:c>
      <x:c r="B364" s="60" t="str">
        <x:v>P3 — جذور تفريق واختبار</x:v>
      </x:c>
      <x:c r="C364" s="60" t="str">
        <x:v>عَرْض</x:v>
      </x:c>
      <x:c r="D364" s="62" t="n">
        <x:v>4</x:v>
      </x:c>
      <x:c r="E364" s="60" t="str">
        <x:v>اسم</x:v>
      </x:c>
      <x:c r="F364" s="60" t="str">
        <x:v>N</x:v>
      </x:c>
      <x:c r="G364" s="60" t="str">
        <x:v>—</x:v>
      </x:c>
      <x:c r="H364" s="62" t="n">
        <x:v>3</x:v>
      </x:c>
      <x:c r="I364" s="60" t="str">
        <x:v>عَرْضُهَا، عَرْضًا، كَعَرْضِ</x:v>
      </x:c>
      <x:c r="J364" s="60" t="str">
        <x:v>3:133:7؛ 18:100:5؛ 57:21:7؛ 57:21:8</x:v>
      </x:c>
      <x:c r="K364" s="60" t="str">
        <x:v>مرشح بنيوي؛ لا تُستنتج الدلالة من اللمة وحدها</x:v>
      </x:c>
      <x:c r="L364" s="60" t="str">
        <x:v>https://corpus.quran.com/qurandictionary.jsp?q=ErD</x:v>
      </x:c>
    </x:row>
    <x:row r="365">
      <x:c r="A365" s="60" t="str">
        <x:v>ع ر ض</x:v>
      </x:c>
      <x:c r="B365" s="60" t="str">
        <x:v>P3 — جذور تفريق واختبار</x:v>
      </x:c>
      <x:c r="C365" s="60" t="str">
        <x:v>إِعْراض</x:v>
      </x:c>
      <x:c r="D365" s="62" t="n">
        <x:v>2</x:v>
      </x:c>
      <x:c r="E365" s="60" t="str">
        <x:v>اسم</x:v>
      </x:c>
      <x:c r="F365" s="60" t="str">
        <x:v>N</x:v>
      </x:c>
      <x:c r="G365" s="60" t="str">
        <x:v>4</x:v>
      </x:c>
      <x:c r="H365" s="62" t="n">
        <x:v>2</x:v>
      </x:c>
      <x:c r="I365" s="60" t="str">
        <x:v>إِعْرَاضًا، إِعْرَاضُهُمْ</x:v>
      </x:c>
      <x:c r="J365" s="60" t="str">
        <x:v>4:128:8؛ 6:35:5</x:v>
      </x:c>
      <x:c r="K365" s="60" t="str">
        <x:v>مرشح بنيوي؛ لا تُستنتج الدلالة من اللمة وحدها</x:v>
      </x:c>
      <x:c r="L365" s="60" t="str">
        <x:v>https://corpus.quran.com/qurandictionary.jsp?q=ErD</x:v>
      </x:c>
    </x:row>
    <x:row r="366">
      <x:c r="A366" s="60" t="str">
        <x:v>ع ر ض</x:v>
      </x:c>
      <x:c r="B366" s="60" t="str">
        <x:v>P3 — جذور تفريق واختبار</x:v>
      </x:c>
      <x:c r="C366" s="60" t="str">
        <x:v>عارِض</x:v>
      </x:c>
      <x:c r="D366" s="62" t="n">
        <x:v>2</x:v>
      </x:c>
      <x:c r="E366" s="60" t="str">
        <x:v>اسم</x:v>
      </x:c>
      <x:c r="F366" s="60" t="str">
        <x:v>N</x:v>
      </x:c>
      <x:c r="G366" s="60" t="str">
        <x:v>1</x:v>
      </x:c>
      <x:c r="H366" s="62" t="n">
        <x:v>2</x:v>
      </x:c>
      <x:c r="I366" s="60" t="str">
        <x:v>عَارِضًا، عَارِضٌ</x:v>
      </x:c>
      <x:c r="J366" s="60" t="str">
        <x:v>46:24:3؛ 46:24:8</x:v>
      </x:c>
      <x:c r="K366" s="60" t="str">
        <x:v>مرشح بنيوي؛ لا تُستنتج الدلالة من اللمة وحدها</x:v>
      </x:c>
      <x:c r="L366" s="60" t="str">
        <x:v>https://corpus.quran.com/qurandictionary.jsp?q=ErD</x:v>
      </x:c>
    </x:row>
    <x:row r="367">
      <x:c r="A367" s="60" t="str">
        <x:v>ع ر ض</x:v>
      </x:c>
      <x:c r="B367" s="60" t="str">
        <x:v>P3 — جذور تفريق واختبار</x:v>
      </x:c>
      <x:c r="C367" s="60" t="str">
        <x:v>عَرِيض</x:v>
      </x:c>
      <x:c r="D367" s="62" t="n">
        <x:v>1</x:v>
      </x:c>
      <x:c r="E367" s="60" t="str">
        <x:v>اسم</x:v>
      </x:c>
      <x:c r="F367" s="60" t="str">
        <x:v>N</x:v>
      </x:c>
      <x:c r="G367" s="60" t="str">
        <x:v>—</x:v>
      </x:c>
      <x:c r="H367" s="62" t="n">
        <x:v>1</x:v>
      </x:c>
      <x:c r="I367" s="60" t="str">
        <x:v>عَرِيضٍ</x:v>
      </x:c>
      <x:c r="J367" s="60" t="str">
        <x:v>41:51:13</x:v>
      </x:c>
      <x:c r="K367" s="60" t="str">
        <x:v>مرشح بنيوي؛ لا تُستنتج الدلالة من اللمة وحدها</x:v>
      </x:c>
      <x:c r="L367" s="60" t="str">
        <x:v>https://corpus.quran.com/qurandictionary.jsp?q=ErD</x:v>
      </x:c>
    </x:row>
    <x:row r="368">
      <x:c r="A368" s="60" t="str">
        <x:v>ع ر ض</x:v>
      </x:c>
      <x:c r="B368" s="60" t="str">
        <x:v>P3 — جذور تفريق واختبار</x:v>
      </x:c>
      <x:c r="C368" s="60" t="str">
        <x:v>عَرَّضْ</x:v>
      </x:c>
      <x:c r="D368" s="62" t="n">
        <x:v>1</x:v>
      </x:c>
      <x:c r="E368" s="60" t="str">
        <x:v>فعل</x:v>
      </x:c>
      <x:c r="F368" s="60" t="str">
        <x:v>V</x:v>
      </x:c>
      <x:c r="G368" s="60" t="str">
        <x:v>2</x:v>
      </x:c>
      <x:c r="H368" s="62" t="n">
        <x:v>1</x:v>
      </x:c>
      <x:c r="I368" s="60" t="str">
        <x:v>عَرَّضْتُم</x:v>
      </x:c>
      <x:c r="J368" s="60" t="str">
        <x:v>2:235:5</x:v>
      </x:c>
      <x:c r="K368" s="60" t="str">
        <x:v>مرشح بنيوي؛ لا تُستنتج الدلالة من اللمة وحدها</x:v>
      </x:c>
      <x:c r="L368" s="60" t="str">
        <x:v>https://corpus.quran.com/qurandictionary.jsp?q=ErD</x:v>
      </x:c>
    </x:row>
    <x:row r="369">
      <x:c r="A369" s="60" t="str">
        <x:v>ع ر ض</x:v>
      </x:c>
      <x:c r="B369" s="60" t="str">
        <x:v>P3 — جذور تفريق واختبار</x:v>
      </x:c>
      <x:c r="C369" s="60" t="str">
        <x:v>عُرْضَة</x:v>
      </x:c>
      <x:c r="D369" s="62" t="n">
        <x:v>1</x:v>
      </x:c>
      <x:c r="E369" s="60" t="str">
        <x:v>اسم</x:v>
      </x:c>
      <x:c r="F369" s="60" t="str">
        <x:v>N</x:v>
      </x:c>
      <x:c r="G369" s="60" t="str">
        <x:v>—</x:v>
      </x:c>
      <x:c r="H369" s="62" t="n">
        <x:v>1</x:v>
      </x:c>
      <x:c r="I369" s="60" t="str">
        <x:v>عُرْضَةً</x:v>
      </x:c>
      <x:c r="J369" s="60" t="str">
        <x:v>2:224:4</x:v>
      </x:c>
      <x:c r="K369" s="60" t="str">
        <x:v>مرشح بنيوي؛ لا تُستنتج الدلالة من اللمة وحدها</x:v>
      </x:c>
      <x:c r="L369" s="60" t="str">
        <x:v>https://corpus.quran.com/qurandictionary.jsp?q=ErD</x:v>
      </x:c>
    </x:row>
    <x:row r="370">
      <x:c r="A370" s="60" t="str">
        <x:v>ف ر ق</x:v>
      </x:c>
      <x:c r="B370" s="60" t="str">
        <x:v>P3 — جذور تفريق واختبار</x:v>
      </x:c>
      <x:c r="C370" s="60" t="str">
        <x:v>فَرِيق</x:v>
      </x:c>
      <x:c r="D370" s="62" t="n">
        <x:v>33</x:v>
      </x:c>
      <x:c r="E370" s="60" t="str">
        <x:v>اسم</x:v>
      </x:c>
      <x:c r="F370" s="60" t="str">
        <x:v>N</x:v>
      </x:c>
      <x:c r="G370" s="60" t="str">
        <x:v>—</x:v>
      </x:c>
      <x:c r="H370" s="62" t="n">
        <x:v>9</x:v>
      </x:c>
      <x:c r="I370" s="60" t="str">
        <x:v>فَرِيقٌ، فَرِيقًا، وَفَرِيقًا، ٱلْفَرِيقَيْنِ، فَفَرِيقًا</x:v>
      </x:c>
      <x:c r="J370" s="60" t="str">
        <x:v>2:75:7؛ 2:85:7؛ 2:87:25؛ 2:87:27</x:v>
      </x:c>
      <x:c r="K370" s="60" t="str">
        <x:v>مرشح بنيوي؛ لا تُستنتج الدلالة من اللمة وحدها</x:v>
      </x:c>
      <x:c r="L370" s="60" t="str">
        <x:v>https://corpus.quran.com/qurandictionary.jsp?q=frq</x:v>
      </x:c>
    </x:row>
    <x:row r="371">
      <x:c r="A371" s="60" t="str">
        <x:v>ف ر ق</x:v>
      </x:c>
      <x:c r="B371" s="60" t="str">
        <x:v>P3 — جذور تفريق واختبار</x:v>
      </x:c>
      <x:c r="C371" s="60" t="str">
        <x:v>فَرَّقُ</x:v>
      </x:c>
      <x:c r="D371" s="62" t="n">
        <x:v>9</x:v>
      </x:c>
      <x:c r="E371" s="60" t="str">
        <x:v>فعل</x:v>
      </x:c>
      <x:c r="F371" s="60" t="str">
        <x:v>V</x:v>
      </x:c>
      <x:c r="G371" s="60" t="str">
        <x:v>2</x:v>
      </x:c>
      <x:c r="H371" s="62" t="n">
        <x:v>5</x:v>
      </x:c>
      <x:c r="I371" s="60" t="str">
        <x:v>نُفَرِّقُ، يُفَرِّقُوا۟، فَرَّقُوا۟، يُفَرِّقُونَ، فَرَّقْتَ</x:v>
      </x:c>
      <x:c r="J371" s="60" t="str">
        <x:v>2:102:38؛ 2:136:25؛ 2:285:16؛ 3:84:23</x:v>
      </x:c>
      <x:c r="K371" s="60" t="str">
        <x:v>مرشح بنيوي؛ لا تُستنتج الدلالة من اللمة وحدها</x:v>
      </x:c>
      <x:c r="L371" s="60" t="str">
        <x:v>https://corpus.quran.com/qurandictionary.jsp?q=frq</x:v>
      </x:c>
    </x:row>
    <x:row r="372">
      <x:c r="A372" s="60" t="str">
        <x:v>ف ر ق</x:v>
      </x:c>
      <x:c r="B372" s="60" t="str">
        <x:v>P3 — جذور تفريق واختبار</x:v>
      </x:c>
      <x:c r="C372" s="60" t="str">
        <x:v>تَفَرَّقَ</x:v>
      </x:c>
      <x:c r="D372" s="62" t="n">
        <x:v>8</x:v>
      </x:c>
      <x:c r="E372" s="60" t="str">
        <x:v>فعل</x:v>
      </x:c>
      <x:c r="F372" s="60" t="str">
        <x:v>V</x:v>
      </x:c>
      <x:c r="G372" s="60" t="str">
        <x:v>5</x:v>
      </x:c>
      <x:c r="H372" s="62" t="n">
        <x:v>7</x:v>
      </x:c>
      <x:c r="I372" s="60" t="str">
        <x:v>تَفَرَّقُوا۟، يَتَفَرَّقَا، فَتَفَرَّقَ، يَتَفَرَّقُونَ، تَتَفَرَّقُوا۟</x:v>
      </x:c>
      <x:c r="J372" s="60" t="str">
        <x:v>3:103:6؛ 3:105:4؛ 4:130:2؛ 6:153:9</x:v>
      </x:c>
      <x:c r="K372" s="60" t="str">
        <x:v>مرشح بنيوي؛ لا تُستنتج الدلالة من اللمة وحدها</x:v>
      </x:c>
      <x:c r="L372" s="60" t="str">
        <x:v>https://corpus.quran.com/qurandictionary.jsp?q=frq</x:v>
      </x:c>
    </x:row>
    <x:row r="373">
      <x:c r="A373" s="60" t="str">
        <x:v>ف ر ق</x:v>
      </x:c>
      <x:c r="B373" s="60" t="str">
        <x:v>P3 — جذور تفريق واختبار</x:v>
      </x:c>
      <x:c r="C373" s="60" t="str">
        <x:v>فُرْقان</x:v>
      </x:c>
      <x:c r="D373" s="62" t="n">
        <x:v>7</x:v>
      </x:c>
      <x:c r="E373" s="60" t="str">
        <x:v>اسم</x:v>
      </x:c>
      <x:c r="F373" s="60" t="str">
        <x:v>N</x:v>
      </x:c>
      <x:c r="G373" s="60" t="str">
        <x:v>—</x:v>
      </x:c>
      <x:c r="H373" s="62" t="n">
        <x:v>5</x:v>
      </x:c>
      <x:c r="I373" s="60" t="str">
        <x:v>ٱلْفُرْقَانَ، وَٱلْفُرْقَانَ، وَٱلْفُرْقَانِ، فُرْقَانًا، ٱلْفُرْقَانِ</x:v>
      </x:c>
      <x:c r="J373" s="60" t="str">
        <x:v>2:53:5؛ 2:185:12؛ 3:4:6؛ 8:29:9</x:v>
      </x:c>
      <x:c r="K373" s="60" t="str">
        <x:v>مرشح بنيوي؛ لا تُستنتج الدلالة من اللمة وحدها</x:v>
      </x:c>
      <x:c r="L373" s="60" t="str">
        <x:v>https://corpus.quran.com/qurandictionary.jsp?q=frq</x:v>
      </x:c>
    </x:row>
    <x:row r="374">
      <x:c r="A374" s="60" t="str">
        <x:v>ف ر ق</x:v>
      </x:c>
      <x:c r="B374" s="60" t="str">
        <x:v>P3 — جذور تفريق واختبار</x:v>
      </x:c>
      <x:c r="C374" s="60" t="str">
        <x:v>فَرَقْ</x:v>
      </x:c>
      <x:c r="D374" s="62" t="n">
        <x:v>5</x:v>
      </x:c>
      <x:c r="E374" s="60" t="str">
        <x:v>فعل</x:v>
      </x:c>
      <x:c r="F374" s="60" t="str">
        <x:v>V</x:v>
      </x:c>
      <x:c r="G374" s="60" t="str">
        <x:v>1</x:v>
      </x:c>
      <x:c r="H374" s="62" t="n">
        <x:v>5</x:v>
      </x:c>
      <x:c r="I374" s="60" t="str">
        <x:v>فَرَقْنَا، فَٱفْرُقْ، يَفْرَقُونَ، فَرَقْنَٰهُ، يُفْرَقُ</x:v>
      </x:c>
      <x:c r="J374" s="60" t="str">
        <x:v>2:50:2؛ 5:25:9؛ 9:56:10؛ 17:106:2</x:v>
      </x:c>
      <x:c r="K374" s="60" t="str">
        <x:v>مرشح بنيوي؛ لا تُستنتج الدلالة من اللمة وحدها</x:v>
      </x:c>
      <x:c r="L374" s="60" t="str">
        <x:v>https://corpus.quran.com/qurandictionary.jsp?q=frq</x:v>
      </x:c>
    </x:row>
    <x:row r="375">
      <x:c r="A375" s="60" t="str">
        <x:v>ف ر ق</x:v>
      </x:c>
      <x:c r="B375" s="60" t="str">
        <x:v>P3 — جذور تفريق واختبار</x:v>
      </x:c>
      <x:c r="C375" s="60" t="str">
        <x:v>فِراق</x:v>
      </x:c>
      <x:c r="D375" s="62" t="n">
        <x:v>2</x:v>
      </x:c>
      <x:c r="E375" s="60" t="str">
        <x:v>اسم</x:v>
      </x:c>
      <x:c r="F375" s="60" t="str">
        <x:v>N</x:v>
      </x:c>
      <x:c r="G375" s="60" t="str">
        <x:v>3</x:v>
      </x:c>
      <x:c r="H375" s="62" t="n">
        <x:v>2</x:v>
      </x:c>
      <x:c r="I375" s="60" t="str">
        <x:v>فِرَاقُ، ٱلْفِرَاقُ</x:v>
      </x:c>
      <x:c r="J375" s="60" t="str">
        <x:v>18:78:3؛ 75:28:3</x:v>
      </x:c>
      <x:c r="K375" s="60" t="str">
        <x:v>مرشح بنيوي؛ لا تُستنتج الدلالة من اللمة وحدها</x:v>
      </x:c>
      <x:c r="L375" s="60" t="str">
        <x:v>https://corpus.quran.com/qurandictionary.jsp?q=frq</x:v>
      </x:c>
    </x:row>
    <x:row r="376">
      <x:c r="A376" s="60" t="str">
        <x:v>ف ر ق</x:v>
      </x:c>
      <x:c r="B376" s="60" t="str">
        <x:v>P3 — جذور تفريق واختبار</x:v>
      </x:c>
      <x:c r="C376" s="60" t="str">
        <x:v>تَفْرِيق</x:v>
      </x:c>
      <x:c r="D376" s="62" t="n">
        <x:v>1</x:v>
      </x:c>
      <x:c r="E376" s="60" t="str">
        <x:v>اسم</x:v>
      </x:c>
      <x:c r="F376" s="60" t="str">
        <x:v>N</x:v>
      </x:c>
      <x:c r="G376" s="60" t="str">
        <x:v>2</x:v>
      </x:c>
      <x:c r="H376" s="62" t="n">
        <x:v>1</x:v>
      </x:c>
      <x:c r="I376" s="60" t="str">
        <x:v>وَتَفْرِيقًۢا</x:v>
      </x:c>
      <x:c r="J376" s="60" t="str">
        <x:v>9:107:6</x:v>
      </x:c>
      <x:c r="K376" s="60" t="str">
        <x:v>مرشح بنيوي؛ لا تُستنتج الدلالة من اللمة وحدها</x:v>
      </x:c>
      <x:c r="L376" s="60" t="str">
        <x:v>https://corpus.quran.com/qurandictionary.jsp?q=frq</x:v>
      </x:c>
    </x:row>
    <x:row r="377">
      <x:c r="A377" s="60" t="str">
        <x:v>ف ر ق</x:v>
      </x:c>
      <x:c r="B377" s="60" t="str">
        <x:v>P3 — جذور تفريق واختبار</x:v>
      </x:c>
      <x:c r="C377" s="60" t="str">
        <x:v>فارِقَة</x:v>
      </x:c>
      <x:c r="D377" s="62" t="n">
        <x:v>1</x:v>
      </x:c>
      <x:c r="E377" s="60" t="str">
        <x:v>اسم</x:v>
      </x:c>
      <x:c r="F377" s="60" t="str">
        <x:v>N</x:v>
      </x:c>
      <x:c r="G377" s="60" t="str">
        <x:v>1</x:v>
      </x:c>
      <x:c r="H377" s="62" t="n">
        <x:v>1</x:v>
      </x:c>
      <x:c r="I377" s="60" t="str">
        <x:v>فَٱلْفَٰرِقَٰتِ</x:v>
      </x:c>
      <x:c r="J377" s="60" t="str">
        <x:v>77:4:1</x:v>
      </x:c>
      <x:c r="K377" s="60" t="str">
        <x:v>مرشح بنيوي؛ لا تُستنتج الدلالة من اللمة وحدها</x:v>
      </x:c>
      <x:c r="L377" s="60" t="str">
        <x:v>https://corpus.quran.com/qurandictionary.jsp?q=frq</x:v>
      </x:c>
    </x:row>
    <x:row r="378">
      <x:c r="A378" s="60" t="str">
        <x:v>ف ر ق</x:v>
      </x:c>
      <x:c r="B378" s="60" t="str">
        <x:v>P3 — جذور تفريق واختبار</x:v>
      </x:c>
      <x:c r="C378" s="60" t="str">
        <x:v>فارِقُ</x:v>
      </x:c>
      <x:c r="D378" s="62" t="n">
        <x:v>1</x:v>
      </x:c>
      <x:c r="E378" s="60" t="str">
        <x:v>فعل</x:v>
      </x:c>
      <x:c r="F378" s="60" t="str">
        <x:v>V</x:v>
      </x:c>
      <x:c r="G378" s="60" t="str">
        <x:v>3</x:v>
      </x:c>
      <x:c r="H378" s="62" t="n">
        <x:v>1</x:v>
      </x:c>
      <x:c r="I378" s="60" t="str">
        <x:v>فَارِقُوهُنَّ</x:v>
      </x:c>
      <x:c r="J378" s="60" t="str">
        <x:v>65:2:7</x:v>
      </x:c>
      <x:c r="K378" s="60" t="str">
        <x:v>مرشح بنيوي؛ لا تُستنتج الدلالة من اللمة وحدها</x:v>
      </x:c>
      <x:c r="L378" s="60" t="str">
        <x:v>https://corpus.quran.com/qurandictionary.jsp?q=frq</x:v>
      </x:c>
    </x:row>
    <x:row r="379">
      <x:c r="A379" s="60" t="str">
        <x:v>ف ر ق</x:v>
      </x:c>
      <x:c r="B379" s="60" t="str">
        <x:v>P3 — جذور تفريق واختبار</x:v>
      </x:c>
      <x:c r="C379" s="60" t="str">
        <x:v>فَرْق</x:v>
      </x:c>
      <x:c r="D379" s="62" t="n">
        <x:v>1</x:v>
      </x:c>
      <x:c r="E379" s="60" t="str">
        <x:v>اسم</x:v>
      </x:c>
      <x:c r="F379" s="60" t="str">
        <x:v>N</x:v>
      </x:c>
      <x:c r="G379" s="60" t="str">
        <x:v>—</x:v>
      </x:c>
      <x:c r="H379" s="62" t="n">
        <x:v>1</x:v>
      </x:c>
      <x:c r="I379" s="60" t="str">
        <x:v>فَرْقًا</x:v>
      </x:c>
      <x:c r="J379" s="60" t="str">
        <x:v>77:4:2</x:v>
      </x:c>
      <x:c r="K379" s="60" t="str">
        <x:v>مرشح بنيوي؛ لا تُستنتج الدلالة من اللمة وحدها</x:v>
      </x:c>
      <x:c r="L379" s="60" t="str">
        <x:v>https://corpus.quran.com/qurandictionary.jsp?q=frq</x:v>
      </x:c>
    </x:row>
    <x:row r="380">
      <x:c r="A380" s="60" t="str">
        <x:v>ف ر ق</x:v>
      </x:c>
      <x:c r="B380" s="60" t="str">
        <x:v>P3 — جذور تفريق واختبار</x:v>
      </x:c>
      <x:c r="C380" s="60" t="str">
        <x:v>فِرْق</x:v>
      </x:c>
      <x:c r="D380" s="62" t="n">
        <x:v>1</x:v>
      </x:c>
      <x:c r="E380" s="60" t="str">
        <x:v>اسم</x:v>
      </x:c>
      <x:c r="F380" s="60" t="str">
        <x:v>N</x:v>
      </x:c>
      <x:c r="G380" s="60" t="str">
        <x:v>—</x:v>
      </x:c>
      <x:c r="H380" s="62" t="n">
        <x:v>1</x:v>
      </x:c>
      <x:c r="I380" s="60" t="str">
        <x:v>فِرْقٍ</x:v>
      </x:c>
      <x:c r="J380" s="60" t="str">
        <x:v>26:63:11</x:v>
      </x:c>
      <x:c r="K380" s="60" t="str">
        <x:v>مرشح بنيوي؛ لا تُستنتج الدلالة من اللمة وحدها</x:v>
      </x:c>
      <x:c r="L380" s="60" t="str">
        <x:v>https://corpus.quran.com/qurandictionary.jsp?q=frq</x:v>
      </x:c>
    </x:row>
    <x:row r="381">
      <x:c r="A381" s="60" t="str">
        <x:v>ف ر ق</x:v>
      </x:c>
      <x:c r="B381" s="60" t="str">
        <x:v>P3 — جذور تفريق واختبار</x:v>
      </x:c>
      <x:c r="C381" s="60" t="str">
        <x:v>فِرْقَة</x:v>
      </x:c>
      <x:c r="D381" s="62" t="n">
        <x:v>1</x:v>
      </x:c>
      <x:c r="E381" s="60" t="str">
        <x:v>اسم</x:v>
      </x:c>
      <x:c r="F381" s="60" t="str">
        <x:v>N</x:v>
      </x:c>
      <x:c r="G381" s="60" t="str">
        <x:v>—</x:v>
      </x:c>
      <x:c r="H381" s="62" t="n">
        <x:v>1</x:v>
      </x:c>
      <x:c r="I381" s="60" t="str">
        <x:v>فِرْقَةٍ</x:v>
      </x:c>
      <x:c r="J381" s="60" t="str">
        <x:v>9:122:10</x:v>
      </x:c>
      <x:c r="K381" s="60" t="str">
        <x:v>مرشح بنيوي؛ لا تُستنتج الدلالة من اللمة وحدها</x:v>
      </x:c>
      <x:c r="L381" s="60" t="str">
        <x:v>https://corpus.quran.com/qurandictionary.jsp?q=frq</x:v>
      </x:c>
    </x:row>
    <x:row r="382">
      <x:c r="A382" s="60" t="str">
        <x:v>ف ر ق</x:v>
      </x:c>
      <x:c r="B382" s="60" t="str">
        <x:v>P3 — جذور تفريق واختبار</x:v>
      </x:c>
      <x:c r="C382" s="60" t="str">
        <x:v>مُتَفَرِّق</x:v>
      </x:c>
      <x:c r="D382" s="62" t="n">
        <x:v>1</x:v>
      </x:c>
      <x:c r="E382" s="60" t="str">
        <x:v>اسم</x:v>
      </x:c>
      <x:c r="F382" s="60" t="str">
        <x:v>N</x:v>
      </x:c>
      <x:c r="G382" s="60" t="str">
        <x:v>5</x:v>
      </x:c>
      <x:c r="H382" s="62" t="n">
        <x:v>1</x:v>
      </x:c>
      <x:c r="I382" s="60" t="str">
        <x:v>مُّتَفَرِّقُونَ</x:v>
      </x:c>
      <x:c r="J382" s="60" t="str">
        <x:v>12:39:4</x:v>
      </x:c>
      <x:c r="K382" s="60" t="str">
        <x:v>مرشح بنيوي؛ لا تُستنتج الدلالة من اللمة وحدها</x:v>
      </x:c>
      <x:c r="L382" s="60" t="str">
        <x:v>https://corpus.quran.com/qurandictionary.jsp?q=frq</x:v>
      </x:c>
    </x:row>
    <x:row r="383">
      <x:c r="A383" s="60" t="str">
        <x:v>ف ر ق</x:v>
      </x:c>
      <x:c r="B383" s="60" t="str">
        <x:v>P3 — جذور تفريق واختبار</x:v>
      </x:c>
      <x:c r="C383" s="60" t="str">
        <x:v>مُتَفَرِّقَة</x:v>
      </x:c>
      <x:c r="D383" s="62" t="n">
        <x:v>1</x:v>
      </x:c>
      <x:c r="E383" s="60" t="str">
        <x:v>اسم</x:v>
      </x:c>
      <x:c r="F383" s="60" t="str">
        <x:v>N</x:v>
      </x:c>
      <x:c r="G383" s="60" t="str">
        <x:v>5</x:v>
      </x:c>
      <x:c r="H383" s="62" t="n">
        <x:v>1</x:v>
      </x:c>
      <x:c r="I383" s="60" t="str">
        <x:v>مُّتَفَرِّقَةٍ</x:v>
      </x:c>
      <x:c r="J383" s="60" t="str">
        <x:v>12:67:11</x:v>
      </x:c>
      <x:c r="K383" s="60" t="str">
        <x:v>مرشح بنيوي؛ لا تُستنتج الدلالة من اللمة وحدها</x:v>
      </x:c>
      <x:c r="L383" s="60" t="str">
        <x:v>https://corpus.quran.com/qurandictionary.jsp?q=frq</x:v>
      </x:c>
    </x:row>
    <x:row r="384">
      <x:c r="A384" s="60" t="str">
        <x:v>ق ط ع</x:v>
      </x:c>
      <x:c r="B384" s="60" t="str">
        <x:v>P3 — جذور تفريق واختبار</x:v>
      </x:c>
      <x:c r="C384" s="60" t="str">
        <x:v>قَطَّعَ</x:v>
      </x:c>
      <x:c r="D384" s="62" t="n">
        <x:v>12</x:v>
      </x:c>
      <x:c r="E384" s="60" t="str">
        <x:v>فعل</x:v>
      </x:c>
      <x:c r="F384" s="60" t="str">
        <x:v>V</x:v>
      </x:c>
      <x:c r="G384" s="60" t="str">
        <x:v>2</x:v>
      </x:c>
      <x:c r="H384" s="62" t="n">
        <x:v>10</x:v>
      </x:c>
      <x:c r="I384" s="60" t="str">
        <x:v>لَأُقَطِّعَنَّ، قُطِّعَتْ، تُقَطَّعَ، وَقَطَّعْنَٰهُمُ، وَقَطَّعْنَٰهُمْ</x:v>
      </x:c>
      <x:c r="J384" s="60" t="str">
        <x:v>5:33:16؛ 7:124:1؛ 7:160:1؛ 7:168:1</x:v>
      </x:c>
      <x:c r="K384" s="60" t="str">
        <x:v>مرشح بنيوي؛ لا تُستنتج الدلالة من اللمة وحدها</x:v>
      </x:c>
      <x:c r="L384" s="60" t="str">
        <x:v>https://corpus.quran.com/qurandictionary.jsp?q=qTE</x:v>
      </x:c>
    </x:row>
    <x:row r="385">
      <x:c r="A385" s="60" t="str">
        <x:v>ق ط ع</x:v>
      </x:c>
      <x:c r="B385" s="60" t="str">
        <x:v>P3 — جذور تفريق واختبار</x:v>
      </x:c>
      <x:c r="C385" s="60" t="str">
        <x:v>قُطِعَ</x:v>
      </x:c>
      <x:c r="D385" s="62" t="n">
        <x:v>12</x:v>
      </x:c>
      <x:c r="E385" s="60" t="str">
        <x:v>فعل</x:v>
      </x:c>
      <x:c r="F385" s="60" t="str">
        <x:v>V</x:v>
      </x:c>
      <x:c r="G385" s="60" t="str">
        <x:v>1</x:v>
      </x:c>
      <x:c r="H385" s="62" t="n">
        <x:v>11</x:v>
      </x:c>
      <x:c r="I385" s="60" t="str">
        <x:v>وَيَقْطَعُونَ، لِيَقْطَعَ، فَٱقْطَعُوٓا۟، فَقُطِعَ، وَقَطَعْنَا</x:v>
      </x:c>
      <x:c r="J385" s="60" t="str">
        <x:v>2:27:8؛ 3:127:1؛ 5:38:3؛ 6:45:1</x:v>
      </x:c>
      <x:c r="K385" s="60" t="str">
        <x:v>مرشح بنيوي؛ لا تُستنتج الدلالة من اللمة وحدها</x:v>
      </x:c>
      <x:c r="L385" s="60" t="str">
        <x:v>https://corpus.quran.com/qurandictionary.jsp?q=qTE</x:v>
      </x:c>
    </x:row>
    <x:row r="386">
      <x:c r="A386" s="60" t="str">
        <x:v>ق ط ع</x:v>
      </x:c>
      <x:c r="B386" s="60" t="str">
        <x:v>P3 — جذور تفريق واختبار</x:v>
      </x:c>
      <x:c r="C386" s="60" t="str">
        <x:v>تَقَطَّعَ</x:v>
      </x:c>
      <x:c r="D386" s="62" t="n">
        <x:v>5</x:v>
      </x:c>
      <x:c r="E386" s="60" t="str">
        <x:v>فعل</x:v>
      </x:c>
      <x:c r="F386" s="60" t="str">
        <x:v>V</x:v>
      </x:c>
      <x:c r="G386" s="60" t="str">
        <x:v>5</x:v>
      </x:c>
      <x:c r="H386" s="62" t="n">
        <x:v>5</x:v>
      </x:c>
      <x:c r="I386" s="60" t="str">
        <x:v>وَتَقَطَّعَتْ، تَّقَطَّعَ، تَقَطَّعَ، وَتَقَطَّعُوٓا۟، فَتَقَطَّعُوٓا۟</x:v>
      </x:c>
      <x:c r="J386" s="60" t="str">
        <x:v>2:166:10؛ 6:94:23؛ 9:110:11؛ 21:93:1</x:v>
      </x:c>
      <x:c r="K386" s="60" t="str">
        <x:v>مرشح بنيوي؛ لا تُستنتج الدلالة من اللمة وحدها</x:v>
      </x:c>
      <x:c r="L386" s="60" t="str">
        <x:v>https://corpus.quran.com/qurandictionary.jsp?q=qTE</x:v>
      </x:c>
    </x:row>
    <x:row r="387">
      <x:c r="A387" s="60" t="str">
        <x:v>ق ط ع</x:v>
      </x:c>
      <x:c r="B387" s="60" t="str">
        <x:v>P3 — جذور تفريق واختبار</x:v>
      </x:c>
      <x:c r="C387" s="60" t="str">
        <x:v>قِطَع</x:v>
      </x:c>
      <x:c r="D387" s="62" t="n">
        <x:v>2</x:v>
      </x:c>
      <x:c r="E387" s="60" t="str">
        <x:v>اسم</x:v>
      </x:c>
      <x:c r="F387" s="60" t="str">
        <x:v>N</x:v>
      </x:c>
      <x:c r="G387" s="60" t="str">
        <x:v>—</x:v>
      </x:c>
      <x:c r="H387" s="62" t="n">
        <x:v>2</x:v>
      </x:c>
      <x:c r="I387" s="60" t="str">
        <x:v>قِطَعًا، قِطَعٌ</x:v>
      </x:c>
      <x:c r="J387" s="60" t="str">
        <x:v>10:27:18؛ 13:4:3</x:v>
      </x:c>
      <x:c r="K387" s="60" t="str">
        <x:v>مرشح بنيوي؛ لا تُستنتج الدلالة من اللمة وحدها</x:v>
      </x:c>
      <x:c r="L387" s="60" t="str">
        <x:v>https://corpus.quran.com/qurandictionary.jsp?q=qTE</x:v>
      </x:c>
    </x:row>
    <x:row r="388">
      <x:c r="A388" s="60" t="str">
        <x:v>ق ط ع</x:v>
      </x:c>
      <x:c r="B388" s="60" t="str">
        <x:v>P3 — جذور تفريق واختبار</x:v>
      </x:c>
      <x:c r="C388" s="60" t="str">
        <x:v>قِطْع</x:v>
      </x:c>
      <x:c r="D388" s="62" t="n">
        <x:v>2</x:v>
      </x:c>
      <x:c r="E388" s="60" t="str">
        <x:v>اسم</x:v>
      </x:c>
      <x:c r="F388" s="60" t="str">
        <x:v>N</x:v>
      </x:c>
      <x:c r="G388" s="60" t="str">
        <x:v>—</x:v>
      </x:c>
      <x:c r="H388" s="62" t="n">
        <x:v>1</x:v>
      </x:c>
      <x:c r="I388" s="60" t="str">
        <x:v>بِقِطْعٍ</x:v>
      </x:c>
      <x:c r="J388" s="60" t="str">
        <x:v>11:81:11؛ 15:65:3</x:v>
      </x:c>
      <x:c r="K388" s="60" t="str">
        <x:v>مرشح بنيوي؛ لا تُستنتج الدلالة من اللمة وحدها</x:v>
      </x:c>
      <x:c r="L388" s="60" t="str">
        <x:v>https://corpus.quran.com/qurandictionary.jsp?q=qTE</x:v>
      </x:c>
    </x:row>
    <x:row r="389">
      <x:c r="A389" s="60" t="str">
        <x:v>ق ط ع</x:v>
      </x:c>
      <x:c r="B389" s="60" t="str">
        <x:v>P3 — جذور تفريق واختبار</x:v>
      </x:c>
      <x:c r="C389" s="60" t="str">
        <x:v>قاطِعَة</x:v>
      </x:c>
      <x:c r="D389" s="62" t="n">
        <x:v>1</x:v>
      </x:c>
      <x:c r="E389" s="60" t="str">
        <x:v>اسم</x:v>
      </x:c>
      <x:c r="F389" s="60" t="str">
        <x:v>N</x:v>
      </x:c>
      <x:c r="G389" s="60" t="str">
        <x:v>1</x:v>
      </x:c>
      <x:c r="H389" s="62" t="n">
        <x:v>1</x:v>
      </x:c>
      <x:c r="I389" s="60" t="str">
        <x:v>قَاطِعَةً</x:v>
      </x:c>
      <x:c r="J389" s="60" t="str">
        <x:v>27:32:9</x:v>
      </x:c>
      <x:c r="K389" s="60" t="str">
        <x:v>مرشح بنيوي؛ لا تُستنتج الدلالة من اللمة وحدها</x:v>
      </x:c>
      <x:c r="L389" s="60" t="str">
        <x:v>https://corpus.quran.com/qurandictionary.jsp?q=qTE</x:v>
      </x:c>
    </x:row>
    <x:row r="390">
      <x:c r="A390" s="60" t="str">
        <x:v>ق ط ع</x:v>
      </x:c>
      <x:c r="B390" s="60" t="str">
        <x:v>P3 — جذور تفريق واختبار</x:v>
      </x:c>
      <x:c r="C390" s="60" t="str">
        <x:v>مَقْطُوع</x:v>
      </x:c>
      <x:c r="D390" s="62" t="n">
        <x:v>1</x:v>
      </x:c>
      <x:c r="E390" s="60" t="str">
        <x:v>اسم</x:v>
      </x:c>
      <x:c r="F390" s="60" t="str">
        <x:v>N</x:v>
      </x:c>
      <x:c r="G390" s="60" t="str">
        <x:v>1</x:v>
      </x:c>
      <x:c r="H390" s="62" t="n">
        <x:v>1</x:v>
      </x:c>
      <x:c r="I390" s="60" t="str">
        <x:v>مَقْطُوعٌ</x:v>
      </x:c>
      <x:c r="J390" s="60" t="str">
        <x:v>15:66:8</x:v>
      </x:c>
      <x:c r="K390" s="60" t="str">
        <x:v>مرشح بنيوي؛ لا تُستنتج الدلالة من اللمة وحدها</x:v>
      </x:c>
      <x:c r="L390" s="60" t="str">
        <x:v>https://corpus.quran.com/qurandictionary.jsp?q=qTE</x:v>
      </x:c>
    </x:row>
    <x:row r="391">
      <x:c r="A391" s="60" t="str">
        <x:v>ق ط ع</x:v>
      </x:c>
      <x:c r="B391" s="60" t="str">
        <x:v>P3 — جذور تفريق واختبار</x:v>
      </x:c>
      <x:c r="C391" s="60" t="str">
        <x:v>مَقْطُوعَة</x:v>
      </x:c>
      <x:c r="D391" s="62" t="n">
        <x:v>1</x:v>
      </x:c>
      <x:c r="E391" s="60" t="str">
        <x:v>اسم</x:v>
      </x:c>
      <x:c r="F391" s="60" t="str">
        <x:v>N</x:v>
      </x:c>
      <x:c r="G391" s="60" t="str">
        <x:v>1</x:v>
      </x:c>
      <x:c r="H391" s="62" t="n">
        <x:v>1</x:v>
      </x:c>
      <x:c r="I391" s="60" t="str">
        <x:v>مَقْطُوعَةٍ</x:v>
      </x:c>
      <x:c r="J391" s="60" t="str">
        <x:v>56:33:2</x:v>
      </x:c>
      <x:c r="K391" s="60" t="str">
        <x:v>مرشح بنيوي؛ لا تُستنتج الدلالة من اللمة وحدها</x:v>
      </x:c>
      <x:c r="L391" s="60" t="str">
        <x:v>https://corpus.quran.com/qurandictionary.jsp?q=qTE</x:v>
      </x:c>
    </x:row>
    <x:row r="392">
      <x:c r="A392" s="60" t="str">
        <x:v>أ ل ف</x:v>
      </x:c>
      <x:c r="B392" s="60" t="str">
        <x:v>P3 — جذور تفريق واختبار</x:v>
      </x:c>
      <x:c r="C392" s="60" t="str">
        <x:v>أَلْف</x:v>
      </x:c>
      <x:c r="D392" s="62" t="n">
        <x:v>14</x:v>
      </x:c>
      <x:c r="E392" s="60" t="str">
        <x:v>اسم</x:v>
      </x:c>
      <x:c r="F392" s="60" t="str">
        <x:v>N</x:v>
      </x:c>
      <x:c r="G392" s="60" t="str">
        <x:v>—</x:v>
      </x:c>
      <x:c r="H392" s="62" t="n">
        <x:v>10</x:v>
      </x:c>
      <x:c r="I392" s="60" t="str">
        <x:v>أَلْفَ، ءَالَٰفٍ، أُلُوفٌ، بِأَلْفٍ، أَلْفًا</x:v>
      </x:c>
      <x:c r="J392" s="60" t="str">
        <x:v>2:96:13؛ 2:243:9؛ 3:124:10؛ 3:125:12</x:v>
      </x:c>
      <x:c r="K392" s="60" t="str">
        <x:v>مرشح بنيوي؛ لا تُستنتج الدلالة من اللمة وحدها</x:v>
      </x:c>
      <x:c r="L392" s="60" t="str">
        <x:v>https://corpus.quran.com/qurandictionary.jsp?q=Alf</x:v>
      </x:c>
    </x:row>
    <x:row r="393">
      <x:c r="A393" s="60" t="str">
        <x:v>أ ل ف</x:v>
      </x:c>
      <x:c r="B393" s="60" t="str">
        <x:v>P3 — جذور تفريق واختبار</x:v>
      </x:c>
      <x:c r="C393" s="60" t="str">
        <x:v>أَلَّفَ</x:v>
      </x:c>
      <x:c r="D393" s="62" t="n">
        <x:v>5</x:v>
      </x:c>
      <x:c r="E393" s="60" t="str">
        <x:v>فعل</x:v>
      </x:c>
      <x:c r="F393" s="60" t="str">
        <x:v>V</x:v>
      </x:c>
      <x:c r="G393" s="60" t="str">
        <x:v>2</x:v>
      </x:c>
      <x:c r="H393" s="62" t="n">
        <x:v>5</x:v>
      </x:c>
      <x:c r="I393" s="60" t="str">
        <x:v>فَأَلَّفَ، وَأَلَّفَ، أَلَّفْتَ، أَلَّفَ، يُؤَلِّفُ</x:v>
      </x:c>
      <x:c r="J393" s="60" t="str">
        <x:v>3:103:14؛ 8:63:1؛ 8:63:11؛ 8:63:16</x:v>
      </x:c>
      <x:c r="K393" s="60" t="str">
        <x:v>مرشح بنيوي؛ لا تُستنتج الدلالة من اللمة وحدها</x:v>
      </x:c>
      <x:c r="L393" s="60" t="str">
        <x:v>https://corpus.quran.com/qurandictionary.jsp?q=Alf</x:v>
      </x:c>
    </x:row>
    <x:row r="394">
      <x:c r="A394" s="60" t="str">
        <x:v>أ ل ف</x:v>
      </x:c>
      <x:c r="B394" s="60" t="str">
        <x:v>P3 — جذور تفريق واختبار</x:v>
      </x:c>
      <x:c r="C394" s="60" t="str">
        <x:v>إِلاف</x:v>
      </x:c>
      <x:c r="D394" s="62" t="n">
        <x:v>2</x:v>
      </x:c>
      <x:c r="E394" s="60" t="str">
        <x:v>اسم</x:v>
      </x:c>
      <x:c r="F394" s="60" t="str">
        <x:v>N</x:v>
      </x:c>
      <x:c r="G394" s="60" t="str">
        <x:v>4</x:v>
      </x:c>
      <x:c r="H394" s="62" t="n">
        <x:v>2</x:v>
      </x:c>
      <x:c r="I394" s="60" t="str">
        <x:v>لِإِيلَٰفِ، إِۦلَٰفِهِمْ</x:v>
      </x:c>
      <x:c r="J394" s="60" t="str">
        <x:v>106:1:1؛ 106:2:1</x:v>
      </x:c>
      <x:c r="K394" s="60" t="str">
        <x:v>مرشح بنيوي؛ لا تُستنتج الدلالة من اللمة وحدها</x:v>
      </x:c>
      <x:c r="L394" s="60" t="str">
        <x:v>https://corpus.quran.com/qurandictionary.jsp?q=Alf</x:v>
      </x:c>
    </x:row>
    <x:row r="395">
      <x:c r="A395" s="60" t="str">
        <x:v>أ ل ف</x:v>
      </x:c>
      <x:c r="B395" s="60" t="str">
        <x:v>P3 — جذور تفريق واختبار</x:v>
      </x:c>
      <x:c r="C395" s="60" t="str">
        <x:v>مُؤَلَّفَة</x:v>
      </x:c>
      <x:c r="D395" s="62" t="n">
        <x:v>1</x:v>
      </x:c>
      <x:c r="E395" s="60" t="str">
        <x:v>اسم</x:v>
      </x:c>
      <x:c r="F395" s="60" t="str">
        <x:v>N</x:v>
      </x:c>
      <x:c r="G395" s="60" t="str">
        <x:v>2</x:v>
      </x:c>
      <x:c r="H395" s="62" t="n">
        <x:v>1</x:v>
      </x:c>
      <x:c r="I395" s="60" t="str">
        <x:v>وَٱلْمُؤَلَّفَةِ</x:v>
      </x:c>
      <x:c r="J395" s="60" t="str">
        <x:v>9:60:7</x:v>
      </x:c>
      <x:c r="K395" s="60" t="str">
        <x:v>مرشح بنيوي؛ لا تُستنتج الدلالة من اللمة وحدها</x:v>
      </x:c>
      <x:c r="L395" s="60" t="str">
        <x:v>https://corpus.quran.com/qurandictionary.jsp?q=Alf</x:v>
      </x:c>
    </x:row>
    <x:row r="396">
      <x:c r="A396" s="60" t="str">
        <x:v>ص ن ع</x:v>
      </x:c>
      <x:c r="B396" s="60" t="str">
        <x:v>P3 — جذور تفريق واختبار</x:v>
      </x:c>
      <x:c r="C396" s="60" t="str">
        <x:v>صَنَعُ</x:v>
      </x:c>
      <x:c r="D396" s="62" t="n">
        <x:v>15</x:v>
      </x:c>
      <x:c r="E396" s="60" t="str">
        <x:v>فعل</x:v>
      </x:c>
      <x:c r="F396" s="60" t="str">
        <x:v>V</x:v>
      </x:c>
      <x:c r="G396" s="60" t="str">
        <x:v>1</x:v>
      </x:c>
      <x:c r="H396" s="62" t="n">
        <x:v>9</x:v>
      </x:c>
      <x:c r="I396" s="60" t="str">
        <x:v>يَصْنَعُونَ، صَنَعُوا۟، يَصْنَعُ، وَٱصْنَعِ، وَيَصْنَعُ</x:v>
      </x:c>
      <x:c r="J396" s="60" t="str">
        <x:v>5:14:25؛ 5:63:13؛ 7:137:24؛ 11:16:11</x:v>
      </x:c>
      <x:c r="K396" s="60" t="str">
        <x:v>مرشح بنيوي؛ لا تُستنتج الدلالة من اللمة وحدها</x:v>
      </x:c>
      <x:c r="L396" s="60" t="str">
        <x:v>https://corpus.quran.com/qurandictionary.jsp?q=SnE</x:v>
      </x:c>
    </x:row>
    <x:row r="397">
      <x:c r="A397" s="60" t="str">
        <x:v>ص ن ع</x:v>
      </x:c>
      <x:c r="B397" s="60" t="str">
        <x:v>P3 — جذور تفريق واختبار</x:v>
      </x:c>
      <x:c r="C397" s="60" t="str">
        <x:v>صُنْع</x:v>
      </x:c>
      <x:c r="D397" s="62" t="n">
        <x:v>2</x:v>
      </x:c>
      <x:c r="E397" s="60" t="str">
        <x:v>اسم</x:v>
      </x:c>
      <x:c r="F397" s="60" t="str">
        <x:v>N</x:v>
      </x:c>
      <x:c r="G397" s="60" t="str">
        <x:v>—</x:v>
      </x:c>
      <x:c r="H397" s="62" t="n">
        <x:v>2</x:v>
      </x:c>
      <x:c r="I397" s="60" t="str">
        <x:v>صُنْعًا، صُنْعَ</x:v>
      </x:c>
      <x:c r="J397" s="60" t="str">
        <x:v>18:104:11؛ 27:88:9</x:v>
      </x:c>
      <x:c r="K397" s="60" t="str">
        <x:v>مرشح بنيوي؛ لا تُستنتج الدلالة من اللمة وحدها</x:v>
      </x:c>
      <x:c r="L397" s="60" t="str">
        <x:v>https://corpus.quran.com/qurandictionary.jsp?q=SnE</x:v>
      </x:c>
    </x:row>
    <x:row r="398">
      <x:c r="A398" s="60" t="str">
        <x:v>ص ن ع</x:v>
      </x:c>
      <x:c r="B398" s="60" t="str">
        <x:v>P3 — جذور تفريق واختبار</x:v>
      </x:c>
      <x:c r="C398" s="60" t="str">
        <x:v>اصْطَنَعْ</x:v>
      </x:c>
      <x:c r="D398" s="62" t="n">
        <x:v>1</x:v>
      </x:c>
      <x:c r="E398" s="60" t="str">
        <x:v>فعل</x:v>
      </x:c>
      <x:c r="F398" s="60" t="str">
        <x:v>V</x:v>
      </x:c>
      <x:c r="G398" s="60" t="str">
        <x:v>8</x:v>
      </x:c>
      <x:c r="H398" s="62" t="n">
        <x:v>1</x:v>
      </x:c>
      <x:c r="I398" s="60" t="str">
        <x:v>وَٱصْطَنَعْتُكَ</x:v>
      </x:c>
      <x:c r="J398" s="60" t="str">
        <x:v>20:41:1</x:v>
      </x:c>
      <x:c r="K398" s="60" t="str">
        <x:v>مرشح بنيوي؛ لا تُستنتج الدلالة من اللمة وحدها</x:v>
      </x:c>
      <x:c r="L398" s="60" t="str">
        <x:v>https://corpus.quran.com/qurandictionary.jsp?q=SnE</x:v>
      </x:c>
    </x:row>
    <x:row r="399">
      <x:c r="A399" s="60" t="str">
        <x:v>ص ن ع</x:v>
      </x:c>
      <x:c r="B399" s="60" t="str">
        <x:v>P3 — جذور تفريق واختبار</x:v>
      </x:c>
      <x:c r="C399" s="60" t="str">
        <x:v>صَنْعَة</x:v>
      </x:c>
      <x:c r="D399" s="62" t="n">
        <x:v>1</x:v>
      </x:c>
      <x:c r="E399" s="60" t="str">
        <x:v>اسم</x:v>
      </x:c>
      <x:c r="F399" s="60" t="str">
        <x:v>N</x:v>
      </x:c>
      <x:c r="G399" s="60" t="str">
        <x:v>—</x:v>
      </x:c>
      <x:c r="H399" s="62" t="n">
        <x:v>1</x:v>
      </x:c>
      <x:c r="I399" s="60" t="str">
        <x:v>صَنْعَةَ</x:v>
      </x:c>
      <x:c r="J399" s="60" t="str">
        <x:v>21:80:2</x:v>
      </x:c>
      <x:c r="K399" s="60" t="str">
        <x:v>مرشح بنيوي؛ لا تُستنتج الدلالة من اللمة وحدها</x:v>
      </x:c>
      <x:c r="L399" s="60" t="str">
        <x:v>https://corpus.quran.com/qurandictionary.jsp?q=SnE</x:v>
      </x:c>
    </x:row>
    <x:row r="400">
      <x:c r="A400" s="60" t="str">
        <x:v>ص ن ع</x:v>
      </x:c>
      <x:c r="B400" s="60" t="str">
        <x:v>P3 — جذور تفريق واختبار</x:v>
      </x:c>
      <x:c r="C400" s="60" t="str">
        <x:v>مَصانِع</x:v>
      </x:c>
      <x:c r="D400" s="62" t="n">
        <x:v>1</x:v>
      </x:c>
      <x:c r="E400" s="60" t="str">
        <x:v>اسم</x:v>
      </x:c>
      <x:c r="F400" s="60" t="str">
        <x:v>N</x:v>
      </x:c>
      <x:c r="G400" s="60" t="str">
        <x:v>—</x:v>
      </x:c>
      <x:c r="H400" s="62" t="n">
        <x:v>1</x:v>
      </x:c>
      <x:c r="I400" s="60" t="str">
        <x:v>مَصَانِعَ</x:v>
      </x:c>
      <x:c r="J400" s="60" t="str">
        <x:v>26:129:2</x:v>
      </x:c>
      <x:c r="K400" s="60" t="str">
        <x:v>مرشح بنيوي؛ لا تُستنتج الدلالة من اللمة وحدها</x:v>
      </x:c>
      <x:c r="L400" s="60" t="str">
        <x:v>https://corpus.quran.com/qurandictionary.jsp?q=SnE</x:v>
      </x:c>
    </x:row>
    <x:row r="401">
      <x:c r="A401" s="60" t="str">
        <x:v>ث ب ت</x:v>
      </x:c>
      <x:c r="B401" s="60" t="str">
        <x:v>P3 — جذور تفريق واختبار</x:v>
      </x:c>
      <x:c r="C401" s="60" t="str">
        <x:v>ثَبَّتْ</x:v>
      </x:c>
      <x:c r="D401" s="62" t="n">
        <x:v>10</x:v>
      </x:c>
      <x:c r="E401" s="60" t="str">
        <x:v>فعل</x:v>
      </x:c>
      <x:c r="F401" s="60" t="str">
        <x:v>V</x:v>
      </x:c>
      <x:c r="G401" s="60" t="str">
        <x:v>2</x:v>
      </x:c>
      <x:c r="H401" s="62" t="n">
        <x:v>9</x:v>
      </x:c>
      <x:c r="I401" s="60" t="str">
        <x:v>وَثَبِّتْ، وَيُثَبِّتَ، فَثَبِّتُوا۟، نُثَبِّتُ، يُثَبِّتُ</x:v>
      </x:c>
      <x:c r="J401" s="60" t="str">
        <x:v>2:250:10؛ 3:147:14؛ 8:11:20؛ 8:12:8</x:v>
      </x:c>
      <x:c r="K401" s="60" t="str">
        <x:v>مرشح بنيوي؛ لا تُستنتج الدلالة من اللمة وحدها</x:v>
      </x:c>
      <x:c r="L401" s="60" t="str">
        <x:v>https://corpus.quran.com/qurandictionary.jsp?q=vbt</x:v>
      </x:c>
    </x:row>
    <x:row r="402">
      <x:c r="A402" s="60" t="str">
        <x:v>ث ب ت</x:v>
      </x:c>
      <x:c r="B402" s="60" t="str">
        <x:v>P3 — جذور تفريق واختبار</x:v>
      </x:c>
      <x:c r="C402" s="60" t="str">
        <x:v>تَثْبِيت</x:v>
      </x:c>
      <x:c r="D402" s="62" t="n">
        <x:v>2</x:v>
      </x:c>
      <x:c r="E402" s="60" t="str">
        <x:v>اسم</x:v>
      </x:c>
      <x:c r="F402" s="60" t="str">
        <x:v>N</x:v>
      </x:c>
      <x:c r="G402" s="60" t="str">
        <x:v>2</x:v>
      </x:c>
      <x:c r="H402" s="62" t="n">
        <x:v>2</x:v>
      </x:c>
      <x:c r="I402" s="60" t="str">
        <x:v>وَتَثْبِيتًا، تَثْبِيتًا</x:v>
      </x:c>
      <x:c r="J402" s="60" t="str">
        <x:v>2:265:8؛ 4:66:27</x:v>
      </x:c>
      <x:c r="K402" s="60" t="str">
        <x:v>مرشح بنيوي؛ لا تُستنتج الدلالة من اللمة وحدها</x:v>
      </x:c>
      <x:c r="L402" s="60" t="str">
        <x:v>https://corpus.quran.com/qurandictionary.jsp?q=vbt</x:v>
      </x:c>
    </x:row>
    <x:row r="403">
      <x:c r="A403" s="60" t="str">
        <x:v>ث ب ت</x:v>
      </x:c>
      <x:c r="B403" s="60" t="str">
        <x:v>P3 — جذور تفريق واختبار</x:v>
      </x:c>
      <x:c r="C403" s="60" t="str">
        <x:v>ثابِت</x:v>
      </x:c>
      <x:c r="D403" s="62" t="n">
        <x:v>2</x:v>
      </x:c>
      <x:c r="E403" s="60" t="str">
        <x:v>اسم</x:v>
      </x:c>
      <x:c r="F403" s="60" t="str">
        <x:v>N</x:v>
      </x:c>
      <x:c r="G403" s="60" t="str">
        <x:v>1</x:v>
      </x:c>
      <x:c r="H403" s="62" t="n">
        <x:v>2</x:v>
      </x:c>
      <x:c r="I403" s="60" t="str">
        <x:v>ثَابِتٌ، ٱلثَّابِتِ</x:v>
      </x:c>
      <x:c r="J403" s="60" t="str">
        <x:v>14:24:12؛ 14:27:6</x:v>
      </x:c>
      <x:c r="K403" s="60" t="str">
        <x:v>مرشح بنيوي؛ لا تُستنتج الدلالة من اللمة وحدها</x:v>
      </x:c>
      <x:c r="L403" s="60" t="str">
        <x:v>https://corpus.quran.com/qurandictionary.jsp?q=vbt</x:v>
      </x:c>
    </x:row>
    <x:row r="404">
      <x:c r="A404" s="60" t="str">
        <x:v>ث ب ت</x:v>
      </x:c>
      <x:c r="B404" s="60" t="str">
        <x:v>P3 — جذور تفريق واختبار</x:v>
      </x:c>
      <x:c r="C404" s="60" t="str">
        <x:v>يُثْبِتُ</x:v>
      </x:c>
      <x:c r="D404" s="62" t="n">
        <x:v>2</x:v>
      </x:c>
      <x:c r="E404" s="60" t="str">
        <x:v>فعل</x:v>
      </x:c>
      <x:c r="F404" s="60" t="str">
        <x:v>V</x:v>
      </x:c>
      <x:c r="G404" s="60" t="str">
        <x:v>4</x:v>
      </x:c>
      <x:c r="H404" s="62" t="n">
        <x:v>2</x:v>
      </x:c>
      <x:c r="I404" s="60" t="str">
        <x:v>لِيُثْبِتُوكَ، وَيُثْبِتُ</x:v>
      </x:c>
      <x:c r="J404" s="60" t="str">
        <x:v>8:30:6؛ 13:39:5</x:v>
      </x:c>
      <x:c r="K404" s="60" t="str">
        <x:v>مرشح بنيوي؛ لا تُستنتج الدلالة من اللمة وحدها</x:v>
      </x:c>
      <x:c r="L404" s="60" t="str">
        <x:v>https://corpus.quran.com/qurandictionary.jsp?q=vbt</x:v>
      </x:c>
    </x:row>
    <x:row r="405">
      <x:c r="A405" s="60" t="str">
        <x:v>ث ب ت</x:v>
      </x:c>
      <x:c r="B405" s="60" t="str">
        <x:v>P3 — جذور تفريق واختبار</x:v>
      </x:c>
      <x:c r="C405" s="60" t="str">
        <x:v>اثْبُتُ</x:v>
      </x:c>
      <x:c r="D405" s="62" t="n">
        <x:v>1</x:v>
      </x:c>
      <x:c r="E405" s="60" t="str">
        <x:v>فعل</x:v>
      </x:c>
      <x:c r="F405" s="60" t="str">
        <x:v>V</x:v>
      </x:c>
      <x:c r="G405" s="60" t="str">
        <x:v>1</x:v>
      </x:c>
      <x:c r="H405" s="62" t="n">
        <x:v>1</x:v>
      </x:c>
      <x:c r="I405" s="60" t="str">
        <x:v>فَٱثْبُتُوا۟</x:v>
      </x:c>
      <x:c r="J405" s="60" t="str">
        <x:v>8:45:7</x:v>
      </x:c>
      <x:c r="K405" s="60" t="str">
        <x:v>مرشح بنيوي؛ لا تُستنتج الدلالة من اللمة وحدها</x:v>
      </x:c>
      <x:c r="L405" s="60" t="str">
        <x:v>https://corpus.quran.com/qurandictionary.jsp?q=vbt</x:v>
      </x:c>
    </x:row>
    <x:row r="406">
      <x:c r="A406" s="60" t="str">
        <x:v>ث ب ت</x:v>
      </x:c>
      <x:c r="B406" s="60" t="str">
        <x:v>P3 — جذور تفريق واختبار</x:v>
      </x:c>
      <x:c r="C406" s="60" t="str">
        <x:v>ثُبُوت</x:v>
      </x:c>
      <x:c r="D406" s="62" t="n">
        <x:v>1</x:v>
      </x:c>
      <x:c r="E406" s="60" t="str">
        <x:v>اسم</x:v>
      </x:c>
      <x:c r="F406" s="60" t="str">
        <x:v>N</x:v>
      </x:c>
      <x:c r="G406" s="60" t="str">
        <x:v>—</x:v>
      </x:c>
      <x:c r="H406" s="62" t="n">
        <x:v>1</x:v>
      </x:c>
      <x:c r="I406" s="60" t="str">
        <x:v>ثُبُوتِهَا</x:v>
      </x:c>
      <x:c r="J406" s="60" t="str">
        <x:v>16:94:9</x:v>
      </x:c>
      <x:c r="K406" s="60" t="str">
        <x:v>مرشح بنيوي؛ لا تُستنتج الدلالة من اللمة وحدها</x:v>
      </x:c>
      <x:c r="L406" s="60" t="str">
        <x:v>https://corpus.quran.com/qurandictionary.jsp?q=vbt</x:v>
      </x:c>
    </x:row>
    <x:row r="407">
      <x:c r="A407" s="60" t="str">
        <x:v>س ط ر</x:v>
      </x:c>
      <x:c r="B407" s="60" t="str">
        <x:v>P3 — جذور تفريق واختبار</x:v>
      </x:c>
      <x:c r="C407" s="60" t="str">
        <x:v>أَساطِير</x:v>
      </x:c>
      <x:c r="D407" s="62" t="n">
        <x:v>9</x:v>
      </x:c>
      <x:c r="E407" s="60" t="str">
        <x:v>اسم</x:v>
      </x:c>
      <x:c r="F407" s="60" t="str">
        <x:v>N</x:v>
      </x:c>
      <x:c r="G407" s="60" t="str">
        <x:v>—</x:v>
      </x:c>
      <x:c r="H407" s="62" t="n">
        <x:v>1</x:v>
      </x:c>
      <x:c r="I407" s="60" t="str">
        <x:v>أَسَٰطِيرُ</x:v>
      </x:c>
      <x:c r="J407" s="60" t="str">
        <x:v>6:25:31؛ 8:31:16؛ 16:24:8؛ 23:83:11</x:v>
      </x:c>
      <x:c r="K407" s="60" t="str">
        <x:v>مرشح بنيوي؛ لا تُستنتج الدلالة من اللمة وحدها</x:v>
      </x:c>
      <x:c r="L407" s="60" t="str">
        <x:v>https://corpus.quran.com/qurandictionary.jsp?q=sTr</x:v>
      </x:c>
    </x:row>
    <x:row r="408">
      <x:c r="A408" s="60" t="str">
        <x:v>س ط ر</x:v>
      </x:c>
      <x:c r="B408" s="60" t="str">
        <x:v>P3 — جذور تفريق واختبار</x:v>
      </x:c>
      <x:c r="C408" s="60" t="str">
        <x:v>مَسْطُور</x:v>
      </x:c>
      <x:c r="D408" s="62" t="n">
        <x:v>3</x:v>
      </x:c>
      <x:c r="E408" s="60" t="str">
        <x:v>اسم</x:v>
      </x:c>
      <x:c r="F408" s="60" t="str">
        <x:v>N</x:v>
      </x:c>
      <x:c r="G408" s="60" t="str">
        <x:v>1</x:v>
      </x:c>
      <x:c r="H408" s="62" t="n">
        <x:v>2</x:v>
      </x:c>
      <x:c r="I408" s="60" t="str">
        <x:v>مَسْطُورًا، مَّسْطُورٍ</x:v>
      </x:c>
      <x:c r="J408" s="60" t="str">
        <x:v>17:58:18؛ 33:6:29؛ 52:2:2</x:v>
      </x:c>
      <x:c r="K408" s="60" t="str">
        <x:v>مرشح بنيوي؛ لا تُستنتج الدلالة من اللمة وحدها</x:v>
      </x:c>
      <x:c r="L408" s="60" t="str">
        <x:v>https://corpus.quran.com/qurandictionary.jsp?q=sTr</x:v>
      </x:c>
    </x:row>
    <x:row r="409">
      <x:c r="A409" s="60" t="str">
        <x:v>س ط ر</x:v>
      </x:c>
      <x:c r="B409" s="60" t="str">
        <x:v>P3 — جذور تفريق واختبار</x:v>
      </x:c>
      <x:c r="C409" s="60" t="str">
        <x:v>مُصَيْطِر</x:v>
      </x:c>
      <x:c r="D409" s="62" t="n">
        <x:v>2</x:v>
      </x:c>
      <x:c r="E409" s="60" t="str">
        <x:v>اسم</x:v>
      </x:c>
      <x:c r="F409" s="60" t="str">
        <x:v>N</x:v>
      </x:c>
      <x:c r="G409" s="60" t="str">
        <x:v>2</x:v>
      </x:c>
      <x:c r="H409" s="62" t="n">
        <x:v>2</x:v>
      </x:c>
      <x:c r="I409" s="60" t="str">
        <x:v>ٱلْمُصَۣيْطِرُونَ، بِمُصَيْطِرٍ</x:v>
      </x:c>
      <x:c r="J409" s="60" t="str">
        <x:v>52:37:7؛ 88:22:3</x:v>
      </x:c>
      <x:c r="K409" s="60" t="str">
        <x:v>مرشح بنيوي؛ لا تُستنتج الدلالة من اللمة وحدها</x:v>
      </x:c>
      <x:c r="L409" s="60" t="str">
        <x:v>https://corpus.quran.com/qurandictionary.jsp?q=sTr</x:v>
      </x:c>
    </x:row>
    <x:row r="410">
      <x:c r="A410" s="60" t="str">
        <x:v>س ط ر</x:v>
      </x:c>
      <x:c r="B410" s="60" t="str">
        <x:v>P3 — جذور تفريق واختبار</x:v>
      </x:c>
      <x:c r="C410" s="60" t="str">
        <x:v>مُسْتَطَر</x:v>
      </x:c>
      <x:c r="D410" s="62" t="n">
        <x:v>1</x:v>
      </x:c>
      <x:c r="E410" s="60" t="str">
        <x:v>اسم</x:v>
      </x:c>
      <x:c r="F410" s="60" t="str">
        <x:v>N</x:v>
      </x:c>
      <x:c r="G410" s="60" t="str">
        <x:v>8</x:v>
      </x:c>
      <x:c r="H410" s="62" t="n">
        <x:v>1</x:v>
      </x:c>
      <x:c r="I410" s="60" t="str">
        <x:v>مُّسْتَطَرٌ</x:v>
      </x:c>
      <x:c r="J410" s="60" t="str">
        <x:v>54:53:4</x:v>
      </x:c>
      <x:c r="K410" s="60" t="str">
        <x:v>مرشح بنيوي؛ لا تُستنتج الدلالة من اللمة وحدها</x:v>
      </x:c>
      <x:c r="L410" s="60" t="str">
        <x:v>https://corpus.quran.com/qurandictionary.jsp?q=sTr</x:v>
      </x:c>
    </x:row>
    <x:row r="411">
      <x:c r="A411" s="60" t="str">
        <x:v>س ط ر</x:v>
      </x:c>
      <x:c r="B411" s="60" t="str">
        <x:v>P3 — جذور تفريق واختبار</x:v>
      </x:c>
      <x:c r="C411" s="60" t="str">
        <x:v>يَسْطُرُ</x:v>
      </x:c>
      <x:c r="D411" s="62" t="n">
        <x:v>1</x:v>
      </x:c>
      <x:c r="E411" s="60" t="str">
        <x:v>فعل</x:v>
      </x:c>
      <x:c r="F411" s="60" t="str">
        <x:v>V</x:v>
      </x:c>
      <x:c r="G411" s="60" t="str">
        <x:v>1</x:v>
      </x:c>
      <x:c r="H411" s="62" t="n">
        <x:v>1</x:v>
      </x:c>
      <x:c r="I411" s="60" t="str">
        <x:v>يَسْطُرُونَ</x:v>
      </x:c>
      <x:c r="J411" s="60" t="str">
        <x:v>68:1:4</x:v>
      </x:c>
      <x:c r="K411" s="60" t="str">
        <x:v>مرشح بنيوي؛ لا تُستنتج الدلالة من اللمة وحدها</x:v>
      </x:c>
      <x:c r="L411" s="60" t="str">
        <x:v>https://corpus.quran.com/qurandictionary.jsp?q=sTr</x:v>
      </x:c>
    </x:row>
    <x:row r="412">
      <x:c r="A412" s="60" t="str">
        <x:v>ف ر ض</x:v>
      </x:c>
      <x:c r="B412" s="60" t="str">
        <x:v>P3 — جذور تفريق واختبار</x:v>
      </x:c>
      <x:c r="C412" s="60" t="str">
        <x:v>فَرَضَ</x:v>
      </x:c>
      <x:c r="D412" s="62" t="n">
        <x:v>9</x:v>
      </x:c>
      <x:c r="E412" s="60" t="str">
        <x:v>فعل</x:v>
      </x:c>
      <x:c r="F412" s="60" t="str">
        <x:v>V</x:v>
      </x:c>
      <x:c r="G412" s="60" t="str">
        <x:v>1</x:v>
      </x:c>
      <x:c r="H412" s="62" t="n">
        <x:v>5</x:v>
      </x:c>
      <x:c r="I412" s="60" t="str">
        <x:v>فَرَضَ، فَرَضْتُمْ، تَفْرِضُوا۟، وَفَرَضْنَٰهَا، فَرَضْنَا</x:v>
      </x:c>
      <x:c r="J412" s="60" t="str">
        <x:v>2:197:5؛ 2:236:11؛ 2:237:8؛ 2:237:13</x:v>
      </x:c>
      <x:c r="K412" s="60" t="str">
        <x:v>مرشح بنيوي؛ لا تُستنتج الدلالة من اللمة وحدها</x:v>
      </x:c>
      <x:c r="L412" s="60" t="str">
        <x:v>https://corpus.quran.com/qurandictionary.jsp?q=frD</x:v>
      </x:c>
    </x:row>
    <x:row r="413">
      <x:c r="A413" s="60" t="str">
        <x:v>ف ر ض</x:v>
      </x:c>
      <x:c r="B413" s="60" t="str">
        <x:v>P3 — جذور تفريق واختبار</x:v>
      </x:c>
      <x:c r="C413" s="60" t="str">
        <x:v>فَرِيضَة</x:v>
      </x:c>
      <x:c r="D413" s="62" t="n">
        <x:v>6</x:v>
      </x:c>
      <x:c r="E413" s="60" t="str">
        <x:v>اسم</x:v>
      </x:c>
      <x:c r="F413" s="60" t="str">
        <x:v>N</x:v>
      </x:c>
      <x:c r="G413" s="60" t="str">
        <x:v>—</x:v>
      </x:c>
      <x:c r="H413" s="62" t="n">
        <x:v>2</x:v>
      </x:c>
      <x:c r="I413" s="60" t="str">
        <x:v>فَرِيضَةً، ٱلْفَرِيضَةِ</x:v>
      </x:c>
      <x:c r="J413" s="60" t="str">
        <x:v>2:236:13؛ 2:237:10؛ 4:11:64؛ 4:24:28</x:v>
      </x:c>
      <x:c r="K413" s="60" t="str">
        <x:v>مرشح بنيوي؛ لا تُستنتج الدلالة من اللمة وحدها</x:v>
      </x:c>
      <x:c r="L413" s="60" t="str">
        <x:v>https://corpus.quran.com/qurandictionary.jsp?q=frD</x:v>
      </x:c>
    </x:row>
    <x:row r="414">
      <x:c r="A414" s="60" t="str">
        <x:v>ف ر ض</x:v>
      </x:c>
      <x:c r="B414" s="60" t="str">
        <x:v>P3 — جذور تفريق واختبار</x:v>
      </x:c>
      <x:c r="C414" s="60" t="str">
        <x:v>مَفْرُوض</x:v>
      </x:c>
      <x:c r="D414" s="62" t="n">
        <x:v>2</x:v>
      </x:c>
      <x:c r="E414" s="60" t="str">
        <x:v>اسم</x:v>
      </x:c>
      <x:c r="F414" s="60" t="str">
        <x:v>N</x:v>
      </x:c>
      <x:c r="G414" s="60" t="str">
        <x:v>1</x:v>
      </x:c>
      <x:c r="H414" s="62" t="n">
        <x:v>1</x:v>
      </x:c>
      <x:c r="I414" s="60" t="str">
        <x:v>مَّفْرُوضًا</x:v>
      </x:c>
      <x:c r="J414" s="60" t="str">
        <x:v>4:7:19؛ 4:118:8</x:v>
      </x:c>
      <x:c r="K414" s="60" t="str">
        <x:v>مرشح بنيوي؛ لا تُستنتج الدلالة من اللمة وحدها</x:v>
      </x:c>
      <x:c r="L414" s="60" t="str">
        <x:v>https://corpus.quran.com/qurandictionary.jsp?q=frD</x:v>
      </x:c>
    </x:row>
    <x:row r="415">
      <x:c r="A415" s="60" t="str">
        <x:v>ف ر ض</x:v>
      </x:c>
      <x:c r="B415" s="60" t="str">
        <x:v>P3 — جذور تفريق واختبار</x:v>
      </x:c>
      <x:c r="C415" s="60" t="str">
        <x:v>فارِض</x:v>
      </x:c>
      <x:c r="D415" s="62" t="n">
        <x:v>1</x:v>
      </x:c>
      <x:c r="E415" s="60" t="str">
        <x:v>اسم</x:v>
      </x:c>
      <x:c r="F415" s="60" t="str">
        <x:v>N</x:v>
      </x:c>
      <x:c r="G415" s="60" t="str">
        <x:v>1</x:v>
      </x:c>
      <x:c r="H415" s="62" t="n">
        <x:v>1</x:v>
      </x:c>
      <x:c r="I415" s="60" t="str">
        <x:v>فَارِضٌ</x:v>
      </x:c>
      <x:c r="J415" s="60" t="str">
        <x:v>2:68:15</x:v>
      </x:c>
      <x:c r="K415" s="60" t="str">
        <x:v>مرشح بنيوي؛ لا تُستنتج الدلالة من اللمة وحدها</x:v>
      </x:c>
      <x:c r="L415" s="60" t="str">
        <x:v>https://corpus.quran.com/qurandictionary.jsp?q=frD</x:v>
      </x:c>
    </x:row>
    <x:row r="416">
      <x:c r="A416" s="60" t="str">
        <x:v>و ص ل</x:v>
      </x:c>
      <x:c r="B416" s="60" t="str">
        <x:v>P3 — جذور تفريق واختبار</x:v>
      </x:c>
      <x:c r="C416" s="60" t="str">
        <x:v>يَصِلُ</x:v>
      </x:c>
      <x:c r="D416" s="62" t="n">
        <x:v>10</x:v>
      </x:c>
      <x:c r="E416" s="60" t="str">
        <x:v>فعل</x:v>
      </x:c>
      <x:c r="F416" s="60" t="str">
        <x:v>V</x:v>
      </x:c>
      <x:c r="G416" s="60" t="str">
        <x:v>1</x:v>
      </x:c>
      <x:c r="H416" s="62" t="n">
        <x:v>5</x:v>
      </x:c>
      <x:c r="I416" s="60" t="str">
        <x:v>يُوصَلَ، يَصِلُونَ، يَصِلُ، تَصِلُ، يَصِلُوٓا۟</x:v>
      </x:c>
      <x:c r="J416" s="60" t="str">
        <x:v>2:27:14؛ 4:90:3؛ 6:136:19؛ 6:136:26</x:v>
      </x:c>
      <x:c r="K416" s="60" t="str">
        <x:v>مرشح بنيوي؛ لا تُستنتج الدلالة من اللمة وحدها</x:v>
      </x:c>
      <x:c r="L416" s="60" t="str">
        <x:v>https://corpus.quran.com/qurandictionary.jsp?q=wSl</x:v>
      </x:c>
    </x:row>
    <x:row r="417">
      <x:c r="A417" s="60" t="str">
        <x:v>و ص ل</x:v>
      </x:c>
      <x:c r="B417" s="60" t="str">
        <x:v>P3 — جذور تفريق واختبار</x:v>
      </x:c>
      <x:c r="C417" s="60" t="str">
        <x:v>وَصِيلَة</x:v>
      </x:c>
      <x:c r="D417" s="62" t="n">
        <x:v>1</x:v>
      </x:c>
      <x:c r="E417" s="60" t="str">
        <x:v>اسم</x:v>
      </x:c>
      <x:c r="F417" s="60" t="str">
        <x:v>N</x:v>
      </x:c>
      <x:c r="G417" s="60" t="str">
        <x:v>—</x:v>
      </x:c>
      <x:c r="H417" s="62" t="n">
        <x:v>1</x:v>
      </x:c>
      <x:c r="I417" s="60" t="str">
        <x:v>وَصِيلَةٍ</x:v>
      </x:c>
      <x:c r="J417" s="60" t="str">
        <x:v>5:103:9</x:v>
      </x:c>
      <x:c r="K417" s="60" t="str">
        <x:v>مرشح بنيوي؛ لا تُستنتج الدلالة من اللمة وحدها</x:v>
      </x:c>
      <x:c r="L417" s="60" t="str">
        <x:v>https://corpus.quran.com/qurandictionary.jsp?q=wSl</x:v>
      </x:c>
    </x:row>
    <x:row r="418">
      <x:c r="A418" s="60" t="str">
        <x:v>و ص ل</x:v>
      </x:c>
      <x:c r="B418" s="60" t="str">
        <x:v>P3 — جذور تفريق واختبار</x:v>
      </x:c>
      <x:c r="C418" s="60" t="str">
        <x:v>وَصَّلْ</x:v>
      </x:c>
      <x:c r="D418" s="62" t="n">
        <x:v>1</x:v>
      </x:c>
      <x:c r="E418" s="60" t="str">
        <x:v>فعل</x:v>
      </x:c>
      <x:c r="F418" s="60" t="str">
        <x:v>V</x:v>
      </x:c>
      <x:c r="G418" s="60" t="str">
        <x:v>2</x:v>
      </x:c>
      <x:c r="H418" s="62" t="n">
        <x:v>1</x:v>
      </x:c>
      <x:c r="I418" s="60" t="str">
        <x:v>وَصَّلْنَا</x:v>
      </x:c>
      <x:c r="J418" s="60" t="str">
        <x:v>28:51:2</x:v>
      </x:c>
      <x:c r="K418" s="60" t="str">
        <x:v>مرشح بنيوي؛ لا تُستنتج الدلالة من اللمة وحدها</x:v>
      </x:c>
      <x:c r="L418" s="60" t="str">
        <x:v>https://corpus.quran.com/qurandictionary.jsp?q=wSl</x:v>
      </x:c>
    </x:row>
    <x:row r="419">
      <x:c r="A419" s="60" t="str">
        <x:v>ع ق د</x:v>
      </x:c>
      <x:c r="B419" s="60" t="str">
        <x:v>P3 — جذور تفريق واختبار</x:v>
      </x:c>
      <x:c r="C419" s="60" t="str">
        <x:v>عُقْدَة</x:v>
      </x:c>
      <x:c r="D419" s="62" t="n">
        <x:v>4</x:v>
      </x:c>
      <x:c r="E419" s="60" t="str">
        <x:v>اسم</x:v>
      </x:c>
      <x:c r="F419" s="60" t="str">
        <x:v>N</x:v>
      </x:c>
      <x:c r="G419" s="60" t="str">
        <x:v>—</x:v>
      </x:c>
      <x:c r="H419" s="62" t="n">
        <x:v>4</x:v>
      </x:c>
      <x:c r="I419" s="60" t="str">
        <x:v>عُقْدَةَ، عُقْدَةُ، عُقْدَةً، ٱلْعُقَدِ</x:v>
      </x:c>
      <x:c r="J419" s="60" t="str">
        <x:v>2:235:29؛ 2:237:21؛ 20:27:2؛ 113:4:5</x:v>
      </x:c>
      <x:c r="K419" s="60" t="str">
        <x:v>مرشح بنيوي؛ لا تُستنتج الدلالة من اللمة وحدها</x:v>
      </x:c>
      <x:c r="L419" s="60" t="str">
        <x:v>https://corpus.quran.com/qurandictionary.jsp?q=Eqd</x:v>
      </x:c>
    </x:row>
    <x:row r="420">
      <x:c r="A420" s="60" t="str">
        <x:v>ع ق د</x:v>
      </x:c>
      <x:c r="B420" s="60" t="str">
        <x:v>P3 — جذور تفريق واختبار</x:v>
      </x:c>
      <x:c r="C420" s="60" t="str">
        <x:v>عَقَدَتْ</x:v>
      </x:c>
      <x:c r="D420" s="62" t="n">
        <x:v>1</x:v>
      </x:c>
      <x:c r="E420" s="60" t="str">
        <x:v>فعل</x:v>
      </x:c>
      <x:c r="F420" s="60" t="str">
        <x:v>V</x:v>
      </x:c>
      <x:c r="G420" s="60" t="str">
        <x:v>1</x:v>
      </x:c>
      <x:c r="H420" s="62" t="n">
        <x:v>1</x:v>
      </x:c>
      <x:c r="I420" s="60" t="str">
        <x:v>عَقَدَتْ</x:v>
      </x:c>
      <x:c r="J420" s="60" t="str">
        <x:v>4:33:9</x:v>
      </x:c>
      <x:c r="K420" s="60" t="str">
        <x:v>مرشح بنيوي؛ لا تُستنتج الدلالة من اللمة وحدها</x:v>
      </x:c>
      <x:c r="L420" s="60" t="str">
        <x:v>https://corpus.quran.com/qurandictionary.jsp?q=Eqd</x:v>
      </x:c>
    </x:row>
    <x:row r="421">
      <x:c r="A421" s="60" t="str">
        <x:v>ع ق د</x:v>
      </x:c>
      <x:c r="B421" s="60" t="str">
        <x:v>P3 — جذور تفريق واختبار</x:v>
      </x:c>
      <x:c r="C421" s="60" t="str">
        <x:v>عَقَّد</x:v>
      </x:c>
      <x:c r="D421" s="62" t="n">
        <x:v>1</x:v>
      </x:c>
      <x:c r="E421" s="60" t="str">
        <x:v>فعل</x:v>
      </x:c>
      <x:c r="F421" s="60" t="str">
        <x:v>V</x:v>
      </x:c>
      <x:c r="G421" s="60" t="str">
        <x:v>2</x:v>
      </x:c>
      <x:c r="H421" s="62" t="n">
        <x:v>1</x:v>
      </x:c>
      <x:c r="I421" s="60" t="str">
        <x:v>عَقَّدتُّمُ</x:v>
      </x:c>
      <x:c r="J421" s="60" t="str">
        <x:v>5:89:10</x:v>
      </x:c>
      <x:c r="K421" s="60" t="str">
        <x:v>مرشح بنيوي؛ لا تُستنتج الدلالة من اللمة وحدها</x:v>
      </x:c>
      <x:c r="L421" s="60" t="str">
        <x:v>https://corpus.quran.com/qurandictionary.jsp?q=Eqd</x:v>
      </x:c>
    </x:row>
    <x:row r="422">
      <x:c r="A422" s="60" t="str">
        <x:v>ع ق د</x:v>
      </x:c>
      <x:c r="B422" s="60" t="str">
        <x:v>P3 — جذور تفريق واختبار</x:v>
      </x:c>
      <x:c r="C422" s="60" t="str">
        <x:v>عُقُود</x:v>
      </x:c>
      <x:c r="D422" s="62" t="n">
        <x:v>1</x:v>
      </x:c>
      <x:c r="E422" s="60" t="str">
        <x:v>اسم</x:v>
      </x:c>
      <x:c r="F422" s="60" t="str">
        <x:v>N</x:v>
      </x:c>
      <x:c r="G422" s="60" t="str">
        <x:v>—</x:v>
      </x:c>
      <x:c r="H422" s="62" t="n">
        <x:v>1</x:v>
      </x:c>
      <x:c r="I422" s="60" t="str">
        <x:v>بِٱلْعُقُودِ</x:v>
      </x:c>
      <x:c r="J422" s="60" t="str">
        <x:v>5:1:5</x:v>
      </x:c>
      <x:c r="K422" s="60" t="str">
        <x:v>مرشح بنيوي؛ لا تُستنتج الدلالة من اللمة وحدها</x:v>
      </x:c>
      <x:c r="L422" s="60" t="str">
        <x:v>https://corpus.quran.com/qurandictionary.jsp?q=Eqd</x:v>
      </x:c>
    </x:row>
    <x:row r="423">
      <x:c r="A423" s="60" t="str">
        <x:v>ر ب ط</x:v>
      </x:c>
      <x:c r="B423" s="60" t="str">
        <x:v>P3 — جذور تفريق واختبار</x:v>
      </x:c>
      <x:c r="C423" s="60" t="str">
        <x:v>رَبَطْ</x:v>
      </x:c>
      <x:c r="D423" s="62" t="n">
        <x:v>3</x:v>
      </x:c>
      <x:c r="E423" s="60" t="str">
        <x:v>فعل</x:v>
      </x:c>
      <x:c r="F423" s="60" t="str">
        <x:v>V</x:v>
      </x:c>
      <x:c r="G423" s="60" t="str">
        <x:v>1</x:v>
      </x:c>
      <x:c r="H423" s="62" t="n">
        <x:v>3</x:v>
      </x:c>
      <x:c r="I423" s="60" t="str">
        <x:v>وَلِيَرْبِطَ، وَرَبَطْنَا، رَّبَطْنَا</x:v>
      </x:c>
      <x:c r="J423" s="60" t="str">
        <x:v>8:11:17؛ 18:14:1؛ 28:10:12</x:v>
      </x:c>
      <x:c r="K423" s="60" t="str">
        <x:v>مرشح بنيوي؛ لا تُستنتج الدلالة من اللمة وحدها</x:v>
      </x:c>
      <x:c r="L423" s="60" t="str">
        <x:v>https://corpus.quran.com/qurandictionary.jsp?q=rbT</x:v>
      </x:c>
    </x:row>
    <x:row r="424">
      <x:c r="A424" s="60" t="str">
        <x:v>ر ب ط</x:v>
      </x:c>
      <x:c r="B424" s="60" t="str">
        <x:v>P3 — جذور تفريق واختبار</x:v>
      </x:c>
      <x:c r="C424" s="60" t="str">
        <x:v>رابِطُ</x:v>
      </x:c>
      <x:c r="D424" s="62" t="n">
        <x:v>1</x:v>
      </x:c>
      <x:c r="E424" s="60" t="str">
        <x:v>فعل</x:v>
      </x:c>
      <x:c r="F424" s="60" t="str">
        <x:v>V</x:v>
      </x:c>
      <x:c r="G424" s="60" t="str">
        <x:v>3</x:v>
      </x:c>
      <x:c r="H424" s="62" t="n">
        <x:v>1</x:v>
      </x:c>
      <x:c r="I424" s="60" t="str">
        <x:v>وَرَابِطُوا۟</x:v>
      </x:c>
      <x:c r="J424" s="60" t="str">
        <x:v>3:200:6</x:v>
      </x:c>
      <x:c r="K424" s="60" t="str">
        <x:v>مرشح بنيوي؛ لا تُستنتج الدلالة من اللمة وحدها</x:v>
      </x:c>
      <x:c r="L424" s="60" t="str">
        <x:v>https://corpus.quran.com/qurandictionary.jsp?q=rbT</x:v>
      </x:c>
    </x:row>
    <x:row r="425">
      <x:c r="A425" s="60" t="str">
        <x:v>ر ب ط</x:v>
      </x:c>
      <x:c r="B425" s="60" t="str">
        <x:v>P3 — جذور تفريق واختبار</x:v>
      </x:c>
      <x:c r="C425" s="60" t="str">
        <x:v>رِباط</x:v>
      </x:c>
      <x:c r="D425" s="62" t="n">
        <x:v>1</x:v>
      </x:c>
      <x:c r="E425" s="60" t="str">
        <x:v>اسم</x:v>
      </x:c>
      <x:c r="F425" s="60" t="str">
        <x:v>N</x:v>
      </x:c>
      <x:c r="G425" s="60" t="str">
        <x:v>—</x:v>
      </x:c>
      <x:c r="H425" s="62" t="n">
        <x:v>1</x:v>
      </x:c>
      <x:c r="I425" s="60" t="str">
        <x:v>رِّبَاطِ</x:v>
      </x:c>
      <x:c r="J425" s="60" t="str">
        <x:v>8:60:8</x:v>
      </x:c>
      <x:c r="K425" s="60" t="str">
        <x:v>مرشح بنيوي؛ لا تُستنتج الدلالة من اللمة وحدها</x:v>
      </x:c>
      <x:c r="L425" s="60" t="str">
        <x:v>https://corpus.quran.com/qurandictionary.jsp?q=rbT</x:v>
      </x:c>
    </x:row>
    <x:row r="426">
      <x:c r="A426" s="60" t="str">
        <x:v>ر ق م</x:v>
      </x:c>
      <x:c r="B426" s="60" t="str">
        <x:v>P3 — جذور تفريق واختبار</x:v>
      </x:c>
      <x:c r="C426" s="60" t="str">
        <x:v>مَرْقُوم</x:v>
      </x:c>
      <x:c r="D426" s="62" t="n">
        <x:v>2</x:v>
      </x:c>
      <x:c r="E426" s="60" t="str">
        <x:v>اسم</x:v>
      </x:c>
      <x:c r="F426" s="60" t="str">
        <x:v>N</x:v>
      </x:c>
      <x:c r="G426" s="60" t="str">
        <x:v>1</x:v>
      </x:c>
      <x:c r="H426" s="62" t="n">
        <x:v>1</x:v>
      </x:c>
      <x:c r="I426" s="60" t="str">
        <x:v>مَّرْقُومٌ</x:v>
      </x:c>
      <x:c r="J426" s="60" t="str">
        <x:v>83:9:2؛ 83:20:2</x:v>
      </x:c>
      <x:c r="K426" s="60" t="str">
        <x:v>مرشح بنيوي؛ لا تُستنتج الدلالة من اللمة وحدها</x:v>
      </x:c>
      <x:c r="L426" s="60" t="str">
        <x:v>https://corpus.quran.com/qurandictionary.jsp?q=rqm</x:v>
      </x:c>
    </x:row>
    <x:row r="427">
      <x:c r="A427" s="60" t="str">
        <x:v>ر ق م</x:v>
      </x:c>
      <x:c r="B427" s="60" t="str">
        <x:v>P3 — جذور تفريق واختبار</x:v>
      </x:c>
      <x:c r="C427" s="60" t="str">
        <x:v>رَقِيم</x:v>
      </x:c>
      <x:c r="D427" s="62" t="n">
        <x:v>1</x:v>
      </x:c>
      <x:c r="E427" s="60" t="str">
        <x:v>اسم</x:v>
      </x:c>
      <x:c r="F427" s="60" t="str">
        <x:v>N</x:v>
      </x:c>
      <x:c r="G427" s="60" t="str">
        <x:v>—</x:v>
      </x:c>
      <x:c r="H427" s="62" t="n">
        <x:v>1</x:v>
      </x:c>
      <x:c r="I427" s="60" t="str">
        <x:v>وَٱلرَّقِيمِ</x:v>
      </x:c>
      <x:c r="J427" s="60" t="str">
        <x:v>18:9:6</x:v>
      </x:c>
      <x:c r="K427" s="60" t="str">
        <x:v>مرشح بنيوي؛ لا تُستنتج الدلالة من اللمة وحدها</x:v>
      </x:c>
      <x:c r="L427" s="60" t="str">
        <x:v>https://corpus.quran.com/qurandictionary.jsp?q=rqm</x:v>
      </x:c>
    </x:row>
    <x:row r="428">
      <x:c r="A428" s="60" t="str">
        <x:v>ض م م</x:v>
      </x:c>
      <x:c r="B428" s="60" t="str">
        <x:v>P3 — جذور تفريق واختبار</x:v>
      </x:c>
      <x:c r="C428" s="60" t="str">
        <x:v>اضْمُمْ</x:v>
      </x:c>
      <x:c r="D428" s="62" t="n">
        <x:v>2</x:v>
      </x:c>
      <x:c r="E428" s="60" t="str">
        <x:v>فعل</x:v>
      </x:c>
      <x:c r="F428" s="60" t="str">
        <x:v>V</x:v>
      </x:c>
      <x:c r="G428" s="60" t="str">
        <x:v>1</x:v>
      </x:c>
      <x:c r="H428" s="62" t="n">
        <x:v>1</x:v>
      </x:c>
      <x:c r="I428" s="60" t="str">
        <x:v>وَٱضْمُمْ</x:v>
      </x:c>
      <x:c r="J428" s="60" t="str">
        <x:v>20:22:1؛ 28:32:10</x:v>
      </x:c>
      <x:c r="K428" s="60" t="str">
        <x:v>مرشح بنيوي؛ لا تُستنتج الدلالة من اللمة وحدها</x:v>
      </x:c>
      <x:c r="L428" s="60" t="str">
        <x:v>https://corpus.quran.com/qurandictionary.jsp?q=Dmm</x:v>
      </x:c>
    </x:row>
    <x:row r="429">
      <x:c r="A429" s="60" t="str">
        <x:v>خ ط ط</x:v>
      </x:c>
      <x:c r="B429" s="60" t="str">
        <x:v>P3 — جذور تفريق واختبار</x:v>
      </x:c>
      <x:c r="C429" s="60" t="str">
        <x:v>تَخُطُّ</x:v>
      </x:c>
      <x:c r="D429" s="62" t="n">
        <x:v>1</x:v>
      </x:c>
      <x:c r="E429" s="60" t="str">
        <x:v>فعل</x:v>
      </x:c>
      <x:c r="F429" s="60" t="str">
        <x:v>V</x:v>
      </x:c>
      <x:c r="G429" s="60" t="str">
        <x:v>1</x:v>
      </x:c>
      <x:c r="H429" s="62" t="n">
        <x:v>1</x:v>
      </x:c>
      <x:c r="I429" s="60" t="str">
        <x:v>تَخُطُّهُۥ</x:v>
      </x:c>
      <x:c r="J429" s="60" t="str">
        <x:v>29:48:9</x:v>
      </x:c>
      <x:c r="K429" s="60" t="str">
        <x:v>مرشح بنيوي؛ لا تُستنتج الدلالة من اللمة وحدها</x:v>
      </x:c>
      <x:c r="L429" s="60" t="str">
        <x:v>https://corpus.quran.com/qurandictionary.jsp?q=xTT</x:v>
      </x:c>
    </x:row>
  </x:sheetData>
  <x:mergeCells>
    <x:mergeCell ref="A1:L2"/>
    <x:mergeCell ref="A3:L4"/>
  </x:mergeCells>
  <x:conditionalFormatting sqref="D7:D429">
    <x:cfRule type="dataBar" priority="1">
      <x:dataBar>
        <x:cfvo type="min"/>
        <x:cfvo type="max"/>
        <x:color rgb="FF4F8F9D"/>
      </x:dataBar>
      <x:extLst>
        <x:ext xmlns:x14="http://schemas.microsoft.com/office/spreadsheetml/2009/9/main" uri="{B025F937-C7B1-47D3-B67F-A62EFF666E3E}">
          <x14:id>{4FCB9E05-E83C-8A5A-0079-66CCDAE5F5CD}</x14:id>
        </x:ext>
      </x:extLst>
    </x:cfRule>
  </x:conditionalFormatting>
  <x:pageMargins left="0.7" right="0.7" top="0.75" bottom="0.75" header="0.3" footer="0.3"/>
  <x:tableParts count="1">
    <x:tablePart xmlns:r="http://schemas.openxmlformats.org/officeDocument/2006/relationships" r:id="R1728457200f74010"/>
  </x:tableParts>
  <x:extLst>
    <x:ext xmlns:x14="http://schemas.microsoft.com/office/spreadsheetml/2009/9/main" xmlns:xm="http://schemas.microsoft.com/office/excel/2006/main" uri="{78C0D931-6437-407d-A8EE-F0AAD7539E65}">
      <x14:conditionalFormattings>
        <x14:conditionalFormatting>
          <x14:cfRule type="dataBar" priority="1" id="{4FCB9E05-E83C-8A5A-0079-66CCDAE5F5CD}">
            <x14:dataBar gradient="1">
              <x14:cfvo type="min"/>
              <x14:cfvo type="max"/>
              <x14:fillColor rgb="FF4F8F9D"/>
            </x14:dataBar>
          </x14:cfRule>
          <xm:sqref>D7:D429</xm:sqref>
        </x14:conditionalFormatting>
      </x14:conditionalFormattings>
    </x:ext>
  </x:extLst>
</x:worksheet>
</file>

<file path=xl/worksheets/sheet5.xml><?xml version="1.0" encoding="utf-8"?>
<x:worksheet xmlns:x="http://schemas.openxmlformats.org/spreadsheetml/2006/main">
  <x:sheetFormatPr defaultRowHeight="15"/>
  <x:cols>
    <x:col min="1" max="1" width="18" hidden="0" customWidth="1"/>
    <x:col min="2" max="2" width="30" hidden="0" customWidth="1"/>
    <x:col min="3" max="3" width="12" hidden="0" customWidth="1"/>
    <x:col min="4" max="4" width="80" hidden="0" customWidth="1"/>
    <x:col min="5" max="5" width="24" hidden="0" customWidth="1"/>
    <x:col min="6" max="6" width="55" hidden="0" customWidth="1"/>
    <x:col min="7" max="7" width="48" hidden="0" customWidth="1"/>
    <x:col min="8" max="8" width="18" hidden="0" customWidth="1"/>
    <x:col min="9" max="9" width="48" hidden="0" customWidth="1"/>
  </x:cols>
  <x:sheetData>
    <x:row r="1">
      <x:c r="A1" s="6" t="str">
        <x:v>سجل السياقات الحاسمة والمرشحة للحسم</x:v>
      </x:c>
      <x:c r="B1" s="6"/>
      <x:c r="C1" s="6"/>
      <x:c r="D1" s="6"/>
      <x:c r="E1" s="6"/>
      <x:c r="F1" s="6"/>
      <x:c r="G1" s="6"/>
      <x:c r="H1" s="6"/>
      <x:c r="I1" s="6"/>
    </x:row>
    <x:row r="2">
      <x:c r="A2" s="6"/>
      <x:c r="B2" s="6"/>
      <x:c r="C2" s="6"/>
      <x:c r="D2" s="6"/>
      <x:c r="E2" s="6"/>
      <x:c r="F2" s="6"/>
      <x:c r="G2" s="6"/>
      <x:c r="H2" s="6"/>
      <x:c r="I2" s="6"/>
    </x:row>
    <x:row r="3">
      <x:c r="A3" s="16" t="str">
        <x:v>السياق الحاسم ليس الأكثر شهرة أو تكرارًا بالضرورة؛ بل الأعلى Information Gain والأقدر على استبعاد فرضيات أو التفريق بينها. سياقات ن ش ز وك ت ب معتمدة في النقاش، أما بقية السياقات فمرشحة ويجب اختبارها داخل التحليل الأعمى.</x:v>
      </x:c>
      <x:c r="B3" s="16"/>
      <x:c r="C3" s="16"/>
      <x:c r="D3" s="16"/>
      <x:c r="E3" s="16"/>
      <x:c r="F3" s="16"/>
      <x:c r="G3" s="16"/>
      <x:c r="H3" s="16"/>
      <x:c r="I3" s="16"/>
    </x:row>
    <x:row r="4">
      <x:c r="A4" s="16"/>
      <x:c r="B4" s="16"/>
      <x:c r="C4" s="16"/>
      <x:c r="D4" s="16"/>
      <x:c r="E4" s="16"/>
      <x:c r="F4" s="16"/>
      <x:c r="G4" s="16"/>
      <x:c r="H4" s="16"/>
      <x:c r="I4" s="16"/>
    </x:row>
    <x:row r="6">
      <x:c r="A6" s="26" t="str">
        <x:v>الجذر</x:v>
      </x:c>
      <x:c r="B6" s="26" t="str">
        <x:v>المرحلة</x:v>
      </x:c>
      <x:c r="C6" s="26" t="str">
        <x:v>المرجع</x:v>
      </x:c>
      <x:c r="D6" s="26" t="str">
        <x:v>نص الآية</x:v>
      </x:c>
      <x:c r="E6" s="26" t="str">
        <x:v>الحالة</x:v>
      </x:c>
      <x:c r="F6" s="26" t="str">
        <x:v>سبب الترشيح/الحسم</x:v>
      </x:c>
      <x:c r="G6" s="26" t="str">
        <x:v>الفرضية التي يختبرها أو ينفيها</x:v>
      </x:c>
      <x:c r="H6" s="26" t="str">
        <x:v>وزن الدليل</x:v>
      </x:c>
      <x:c r="I6" s="26" t="str">
        <x:v>المصدر</x:v>
      </x:c>
    </x:row>
    <x:row r="7">
      <x:c r="A7" s="60" t="str">
        <x:v>ك ت ب</x:v>
      </x:c>
      <x:c r="B7" s="60" t="str">
        <x:v>P0 — تعريف مرجعي قائم</x:v>
      </x:c>
      <x:c r="C7" s="60" t="str">
        <x:v>6:12</x:v>
      </x:c>
      <x:c r="D7" s="60" t="str">
        <x:v>قُل لِّمَن مَّا فِى ٱلسَّمَٰوَٰتِ وَٱلْأَرْضِ قُل لِّلَّهِ كَتَبَ عَلَىٰ نَفْسِهِ ٱلرَّحْمَةَ لَيَجْمَعَنَّكُمْ إِلَىٰ يَوْمِ ٱلْقِيَٰمَةِ لَا رَيْبَ فِيهِ ٱلَّذِينَ خَسِرُوٓا۟ أَنفُسَهُمْ فَهُمْ لَا يُؤْمِنُونَ</x:v>
      </x:c>
      <x:c r="E7" s="60" t="str">
        <x:v>AGREED_DECISIVE</x:v>
      </x:c>
      <x:c r="F7" s="60" t="str">
        <x:v>SELF-REFERENTIAL DECISIVE CONTEXT؛ Role Collapse؛ نفي الإلزام على الغير والنواة المادية</x:v>
      </x:c>
      <x:c r="G7" s="60" t="str">
        <x:v>خط بالقلم؛ فرض على الغير؛ الجمع كتطابق كامل</x:v>
      </x:c>
      <x:c r="H7" s="60" t="str">
        <x:v>CRITICAL</x:v>
      </x:c>
      <x:c r="I7" s="60" t="str">
        <x:v>https://corpus.quran.com/wordbyword.jsp?chapter=6&amp;verse=12</x:v>
      </x:c>
    </x:row>
    <x:row r="8">
      <x:c r="A8" s="60" t="str">
        <x:v>ك ت ب</x:v>
      </x:c>
      <x:c r="B8" s="60" t="str">
        <x:v>P0 — تعريف مرجعي قائم</x:v>
      </x:c>
      <x:c r="C8" s="60" t="str">
        <x:v>3:53</x:v>
      </x:c>
      <x:c r="D8" s="60" t="str">
        <x:v>رَبَّنَآ ءَامَنَّا بِمَآ أَنزَلْتَ وَٱتَّبَعْنَا ٱلرَّسُولَ فَٱكْتُبْنَا مَعَ ٱلشَّٰهِدِينَ</x:v>
      </x:c>
      <x:c r="E8" s="60" t="str">
        <x:v>AGREED_DECISIVE</x:v>
      </x:c>
      <x:c r="F8" s="60" t="str">
        <x:v>اختبار الإدخال في جماعة/نسبة دون كتابة مادية</x:v>
      </x:c>
      <x:c r="G8" s="60" t="str">
        <x:v>حصر كتب في التدوين</x:v>
      </x:c>
      <x:c r="H8" s="60" t="str">
        <x:v>CRITICAL</x:v>
      </x:c>
      <x:c r="I8" s="60" t="str">
        <x:v>https://corpus.quran.com/wordbyword.jsp?chapter=3&amp;verse=53</x:v>
      </x:c>
    </x:row>
    <x:row r="9">
      <x:c r="A9" s="60" t="str">
        <x:v>ك ت ب</x:v>
      </x:c>
      <x:c r="B9" s="60" t="str">
        <x:v>P0 — تعريف مرجعي قائم</x:v>
      </x:c>
      <x:c r="C9" s="60" t="str">
        <x:v>2:183</x:v>
      </x:c>
      <x:c r="D9" s="60" t="str">
        <x:v>يَٰٓأَيُّهَا ٱلَّذِينَ ءَامَنُوا۟ كُتِبَ عَلَيْكُمُ ٱلصِّيَامُ كَمَا كُتِبَ عَلَى ٱلَّذِينَ مِن قَبْلِكُمْ لَعَلَّكُمْ تَتَّقُونَ</x:v>
      </x:c>
      <x:c r="E9" s="60" t="str">
        <x:v>AGREED_DECISIVE</x:v>
      </x:c>
      <x:c r="F9" s="60" t="str">
        <x:v>اختبار كتب + على + سياق تشريعي وفصل الإلزام عن Root Core</x:v>
      </x:c>
      <x:c r="G9" s="60" t="str">
        <x:v>كتب = ألزم كنواة</x:v>
      </x:c>
      <x:c r="H9" s="60" t="str">
        <x:v>CRITICAL</x:v>
      </x:c>
      <x:c r="I9" s="60" t="str">
        <x:v>https://corpus.quran.com/wordbyword.jsp?chapter=2&amp;verse=183</x:v>
      </x:c>
    </x:row>
    <x:row r="10">
      <x:c r="A10" s="60" t="str">
        <x:v>ك ت ب</x:v>
      </x:c>
      <x:c r="B10" s="60" t="str">
        <x:v>P0 — تعريف مرجعي قائم</x:v>
      </x:c>
      <x:c r="C10" s="60" t="str">
        <x:v>2:79</x:v>
      </x:c>
      <x:c r="D10" s="60" t="str">
        <x:v>فَوَيْلٌ لِّلَّذِينَ يَكْتُبُونَ ٱلْكِتَٰبَ بِأَيْدِيهِمْ ثُمَّ يَقُولُونَ هَٰذَا مِنْ عِندِ ٱللَّهِ لِيَشْتَرُوا۟ بِهِۦ ثَمَنًا قَلِيلًا فَوَيْلٌ لَّهُم مِّمَّا كَتَبَتْ أَيْدِيهِمْ وَوَيْلٌ لَّهُم مِّمَّا يَكْسِبُونَ</x:v>
      </x:c>
      <x:c r="E10" s="60" t="str">
        <x:v>AGREED_DECISIVE</x:v>
      </x:c>
      <x:c r="F10" s="60" t="str">
        <x:v>Instrumental Realization + False-Content Neutrality</x:v>
      </x:c>
      <x:c r="G10" s="60" t="str">
        <x:v>كتب يقتضي الصدق/المشروعية</x:v>
      </x:c>
      <x:c r="H10" s="60" t="str">
        <x:v>CRITICAL</x:v>
      </x:c>
      <x:c r="I10" s="60" t="str">
        <x:v>https://corpus.quran.com/wordbyword.jsp?chapter=2&amp;verse=79</x:v>
      </x:c>
    </x:row>
    <x:row r="11">
      <x:c r="A11" s="60" t="str">
        <x:v>ك ت ب</x:v>
      </x:c>
      <x:c r="B11" s="60" t="str">
        <x:v>P0 — تعريف مرجعي قائم</x:v>
      </x:c>
      <x:c r="C11" s="60" t="str">
        <x:v>58:22</x:v>
      </x:c>
      <x:c r="D11" s="60" t="str">
        <x:v>لَّا تَجِدُ قَوْمًا يُؤْمِنُونَ بِٱللَّهِ وَٱلْيَوْمِ ٱلْءَاخِرِ يُوَآدُّونَ مَنْ حَآدَّ ٱللَّهَ وَرَسُولَهُۥ وَلَوْ كَانُوٓا۟ ءَابَآءَهُمْ أَوْ أَبْنَآءَهُمْ أَوْ إِخْوَٰنَهُمْ أَوْ عَشِيرَتَهُمْ أُو۟لَٰٓئِكَ كَتَبَ فِى قُلُوبِهِمُ ٱلْإِيمَٰنَ وَأَيَّدَهُم بِرُوحٍ مِّنْهُ وَيُدْخِلُهُمْ جَنَّٰتٍ تَجْرِى مِن تَحْتِهَا ٱلْأَنْهَٰرُ خَٰلِدِينَ فِيهَا رَضِىَ ٱللَّهُ عَنْهُمْ وَرَضُوا۟ عَنْهُ أُو۟لَٰٓئِكَ حِزْبُ ٱللَّهِ أَلَآ إِنَّ حِزْبَ ٱللَّهِ هُمُ ٱلْمُفْلِحُونَ</x:v>
      </x:c>
      <x:c r="E11" s="60" t="str">
        <x:v>AGREED_DECISIVE</x:v>
      </x:c>
      <x:c r="F11" s="60" t="str">
        <x:v>Abstract-Object / محل داخلي: كتب في القلوب</x:v>
      </x:c>
      <x:c r="G11" s="60" t="str">
        <x:v>اشتراط سطح أو أداة مادية</x:v>
      </x:c>
      <x:c r="H11" s="60" t="str">
        <x:v>CRITICAL</x:v>
      </x:c>
      <x:c r="I11" s="60" t="str">
        <x:v>https://corpus.quran.com/wordbyword.jsp?chapter=58&amp;verse=22</x:v>
      </x:c>
    </x:row>
    <x:row r="12">
      <x:c r="A12" s="60" t="str">
        <x:v>ن ش ز</x:v>
      </x:c>
      <x:c r="B12" s="60" t="str">
        <x:v>P0 — تعريف مرجعي قائم</x:v>
      </x:c>
      <x:c r="C12" s="60" t="str">
        <x:v>2:259</x:v>
      </x:c>
      <x:c r="D12" s="60" t="str">
        <x:v>أَوْ كَٱلَّذِى مَرَّ عَلَىٰ قَرْيَةٍ وَهِىَ خَاوِيَةٌ عَلَىٰ عُرُوشِهَا قَالَ أَنَّىٰ يُحْىِۦ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x:v>
      </x:c>
      <x:c r="E12" s="60" t="str">
        <x:v>AGREED_DECISIVE</x:v>
      </x:c>
      <x:c r="F12" s="60" t="str">
        <x:v>DECISIVE NEGATIVE EVIDENCE في مجال مادي</x:v>
      </x:c>
      <x:c r="G12" s="60" t="str">
        <x:v>العصيان؛ المعنى الزوجي الخاص؛ الارتفاع المفترض بلا دليل</x:v>
      </x:c>
      <x:c r="H12" s="60" t="str">
        <x:v>CRITICAL</x:v>
      </x:c>
      <x:c r="I12" s="60" t="str">
        <x:v>https://corpus.quran.com/wordbyword.jsp?chapter=2&amp;verse=259</x:v>
      </x:c>
    </x:row>
    <x:row r="13">
      <x:c r="A13" s="60" t="str">
        <x:v>ن ش ز</x:v>
      </x:c>
      <x:c r="B13" s="60" t="str">
        <x:v>P0 — تعريف مرجعي قائم</x:v>
      </x:c>
      <x:c r="C13" s="60" t="str">
        <x:v>58:11</x:v>
      </x:c>
      <x:c r="D13" s="60" t="str">
        <x:v>يَٰٓأَيُّهَا ٱلَّذِينَ ءَامَنُوٓا۟ إِذَا قِيلَ لَكُمْ تَفَسَّحُوا۟ فِى ٱلْمَجَٰلِسِ فَٱفْسَحُوا۟ يَفْسَحِ ٱللَّهُ لَكُمْ وَإِذَا قِيلَ ٱنشُزُوا۟ فَٱنشُزُوا۟ يَرْفَعِ ٱللَّهُ ٱلَّذِينَ ءَامَنُوا۟ مِنكُمْ وَٱلَّذِينَ أُوتُوا۟ ٱلْعِلْمَ دَرَجَٰتٍ وَٱللَّهُ بِمَا تَعْمَلُونَ خَبِيرٌ</x:v>
      </x:c>
      <x:c r="E13" s="60" t="str">
        <x:v>AGREED_DECISIVE</x:v>
      </x:c>
      <x:c r="F13" s="60" t="str">
        <x:v>CONTRAST-AXIS SEARCH مع تفسحوا</x:v>
      </x:c>
      <x:c r="G13" s="60" t="str">
        <x:v>المحور المكاني: التفسح مقابل التقارب/التضام</x:v>
      </x:c>
      <x:c r="H13" s="60" t="str">
        <x:v>CRITICAL</x:v>
      </x:c>
      <x:c r="I13" s="60" t="str">
        <x:v>https://corpus.quran.com/wordbyword.jsp?chapter=58&amp;verse=11</x:v>
      </x:c>
    </x:row>
    <x:row r="14">
      <x:c r="A14" s="60" t="str">
        <x:v>ن ش ز</x:v>
      </x:c>
      <x:c r="B14" s="60" t="str">
        <x:v>P0 — تعريف مرجعي قائم</x:v>
      </x:c>
      <x:c r="C14" s="60" t="str">
        <x:v>4:34</x:v>
      </x:c>
      <x:c r="D14" s="60" t="str">
        <x:v>ٱلرِّجَالُ قَوَّٰمُونَ عَلَى ٱلنِّسَآءِ بِمَا فَضَّلَ ٱللَّهُ بَعْضَهُمْ عَلَىٰ بَعْضٍ وَبِمَآ أَنفَقُوا۟ مِنْ أَمْوَٰلِهِمْ فَٱلصَّٰلِحَٰتُ قَٰنِتَٰتٌ حَٰفِظَٰتٌ لِّلْغَيْبِ بِمَا حَفِظَ ٱللَّهُ وَٱلَّٰتِى تَخَافُونَ نُشُوزَهُنَّ فَعِظُوهُنَّ وَٱهْجُرُوهُنَّ فِى ٱلْمَضَاجِعِ وَٱضْرِبُوهُنَّ فَإِنْ أَطَعْنَكُمْ فَلَا تَبْغُوا۟ عَلَيْهِنَّ سَبِيلًا إِنَّ ٱللَّهَ كَانَ عَلِيًّا كَبِيرًا</x:v>
      </x:c>
      <x:c r="E14" s="60" t="str">
        <x:v>AGREED_DECISIVE</x:v>
      </x:c>
      <x:c r="F14" s="60" t="str">
        <x:v>اختبار التحقق الزوجي والتدبير اللاحق دون تعريف الحالة به</x:v>
      </x:c>
      <x:c r="G14" s="60" t="str">
        <x:v>العصيان كتطابق؛ Remedy = Definition</x:v>
      </x:c>
      <x:c r="H14" s="60" t="str">
        <x:v>CRITICAL</x:v>
      </x:c>
      <x:c r="I14" s="60" t="str">
        <x:v>https://corpus.quran.com/wordbyword.jsp?chapter=4&amp;verse=34</x:v>
      </x:c>
    </x:row>
    <x:row r="15">
      <x:c r="A15" s="60" t="str">
        <x:v>ن ش ز</x:v>
      </x:c>
      <x:c r="B15" s="60" t="str">
        <x:v>P0 — تعريف مرجعي قائم</x:v>
      </x:c>
      <x:c r="C15" s="60" t="str">
        <x:v>4:128</x:v>
      </x:c>
      <x:c r="D15" s="60" t="str">
        <x:v>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x:v>
      </x:c>
      <x:c r="E15" s="60" t="str">
        <x:v>AGREED_DECISIVE</x:v>
      </x:c>
      <x:c r="F15" s="60" t="str">
        <x:v>STRUCTURAL NON-REDUNDANCY: نشوزًا أو إعراضًا</x:v>
      </x:c>
      <x:c r="G15" s="60" t="str">
        <x:v>النشوز = الإعراض/الابتعاد</x:v>
      </x:c>
      <x:c r="H15" s="60" t="str">
        <x:v>CRITICAL</x:v>
      </x:c>
      <x:c r="I15" s="60" t="str">
        <x:v>https://corpus.quran.com/wordbyword.jsp?chapter=4&amp;verse=128</x:v>
      </x:c>
    </x:row>
    <x:row r="16">
      <x:c r="A16" s="60" t="str">
        <x:v>أ م ن</x:v>
      </x:c>
      <x:c r="B16" s="60" t="str">
        <x:v>P1 — أصول تأسيسية عالية الأثر</x:v>
      </x:c>
      <x:c r="C16" s="60" t="str">
        <x:v>2:3</x:v>
      </x:c>
      <x:c r="D16" s="60" t="str">
        <x:v>ٱلَّذِينَ يُؤْمِنُونَ بِٱلْغَيْبِ وَيُقِيمُونَ ٱلصَّلَوٰةَ وَمِمَّا رَزَقْنَٰهُمْ يُنفِقُونَ</x:v>
      </x:c>
      <x:c r="E16" s="60" t="str">
        <x:v>CANDIDATE_DECISIVE</x:v>
      </x:c>
      <x:c r="F16" s="60" t="str">
        <x:v>مرشح عالي القيمة بسبب تنوع المجال أو الصيغة أو المشاركين أو المقابلة؛ يلزم إثبات سبب الحسم في Blind Analysis</x:v>
      </x:c>
      <x:c r="G16" s="60" t="str">
        <x:v>تُحدد الفرضيات التي يختبرها بعد بناء الملفات المحلية المستقلة</x:v>
      </x:c>
      <x:c r="H16" s="60" t="str">
        <x:v>HIGH — candidate</x:v>
      </x:c>
      <x:c r="I16" s="60" t="str">
        <x:v>https://corpus.quran.com/wordbyword.jsp?chapter=2&amp;verse=3</x:v>
      </x:c>
    </x:row>
    <x:row r="17">
      <x:c r="A17" s="60" t="str">
        <x:v>أ م ن</x:v>
      </x:c>
      <x:c r="B17" s="60" t="str">
        <x:v>P1 — أصول تأسيسية عالية الأثر</x:v>
      </x:c>
      <x:c r="C17" s="60" t="str">
        <x:v>106:4</x:v>
      </x:c>
      <x:c r="D17" s="60" t="str">
        <x:v>ٱلَّذِىٓ أَطْعَمَهُم مِّن جُوعٍ وَءَامَنَهُم مِّنْ خَوْفٍۭ</x:v>
      </x:c>
      <x:c r="E17" s="60" t="str">
        <x:v>CANDIDATE_DECISIVE</x:v>
      </x:c>
      <x:c r="F17" s="60" t="str">
        <x:v>مرشح عالي القيمة بسبب تنوع المجال أو الصيغة أو المشاركين أو المقابلة؛ يلزم إثبات سبب الحسم في Blind Analysis</x:v>
      </x:c>
      <x:c r="G17" s="60" t="str">
        <x:v>تُحدد الفرضيات التي يختبرها بعد بناء الملفات المحلية المستقلة</x:v>
      </x:c>
      <x:c r="H17" s="60" t="str">
        <x:v>HIGH — candidate</x:v>
      </x:c>
      <x:c r="I17" s="60" t="str">
        <x:v>https://corpus.quran.com/wordbyword.jsp?chapter=106&amp;verse=4</x:v>
      </x:c>
    </x:row>
    <x:row r="18">
      <x:c r="A18" s="60" t="str">
        <x:v>أ م ن</x:v>
      </x:c>
      <x:c r="B18" s="60" t="str">
        <x:v>P1 — أصول تأسيسية عالية الأثر</x:v>
      </x:c>
      <x:c r="C18" s="60" t="str">
        <x:v>4:83</x:v>
      </x:c>
      <x:c r="D18" s="60" t="str">
        <x:v>وَإِذَا جَآءَهُمْ أَمْرٌ مِّنَ ٱلْأَمْنِ أَوِ ٱلْخَوْفِ أَذَاعُوا۟ بِهِۦ وَلَوْ رَدُّوهُ إِلَى ٱلرَّسُولِ وَإِلَىٰٓ أُو۟لِى ٱلْأَمْرِ مِنْهُمْ لَعَلِمَهُ ٱلَّذِينَ يَسْتَنۢبِطُونَهُۥ مِنْهُمْ وَلَوْلَا فَضْلُ ٱللَّهِ عَلَيْكُمْ وَرَحْمَتُهُۥ لَٱتَّبَعْتُمُ ٱلشَّيْطَٰنَ إِلَّا قَلِيلًا</x:v>
      </x:c>
      <x:c r="E18" s="60" t="str">
        <x:v>CANDIDATE_DECISIVE</x:v>
      </x:c>
      <x:c r="F18" s="60" t="str">
        <x:v>مرشح عالي القيمة بسبب تنوع المجال أو الصيغة أو المشاركين أو المقابلة؛ يلزم إثبات سبب الحسم في Blind Analysis</x:v>
      </x:c>
      <x:c r="G18" s="60" t="str">
        <x:v>تُحدد الفرضيات التي يختبرها بعد بناء الملفات المحلية المستقلة</x:v>
      </x:c>
      <x:c r="H18" s="60" t="str">
        <x:v>HIGH — candidate</x:v>
      </x:c>
      <x:c r="I18" s="60" t="str">
        <x:v>https://corpus.quran.com/wordbyword.jsp?chapter=4&amp;verse=83</x:v>
      </x:c>
    </x:row>
    <x:row r="19">
      <x:c r="A19" s="60" t="str">
        <x:v>أ م ن</x:v>
      </x:c>
      <x:c r="B19" s="60" t="str">
        <x:v>P1 — أصول تأسيسية عالية الأثر</x:v>
      </x:c>
      <x:c r="C19" s="60" t="str">
        <x:v>12:17</x:v>
      </x:c>
      <x:c r="D19" s="60" t="str">
        <x:v>قَالُوا۟ يَٰٓأَبَانَآ إِنَّا ذَهَبْنَا نَسْتَبِقُ وَتَرَكْنَا يُوسُفَ عِندَ مَتَٰعِنَا فَأَكَلَهُ ٱلذِّئْبُ وَمَآ أَنتَ بِمُؤْمِنٍ لَّنَا وَلَوْ كُنَّا صَٰدِقِينَ</x:v>
      </x:c>
      <x:c r="E19" s="60" t="str">
        <x:v>CANDIDATE_DECISIVE</x:v>
      </x:c>
      <x:c r="F19" s="60" t="str">
        <x:v>مرشح عالي القيمة بسبب تنوع المجال أو الصيغة أو المشاركين أو المقابلة؛ يلزم إثبات سبب الحسم في Blind Analysis</x:v>
      </x:c>
      <x:c r="G19" s="60" t="str">
        <x:v>تُحدد الفرضيات التي يختبرها بعد بناء الملفات المحلية المستقلة</x:v>
      </x:c>
      <x:c r="H19" s="60" t="str">
        <x:v>HIGH — candidate</x:v>
      </x:c>
      <x:c r="I19" s="60" t="str">
        <x:v>https://corpus.quran.com/wordbyword.jsp?chapter=12&amp;verse=17</x:v>
      </x:c>
    </x:row>
    <x:row r="20">
      <x:c r="A20" s="60" t="str">
        <x:v>ك ف ر</x:v>
      </x:c>
      <x:c r="B20" s="60" t="str">
        <x:v>P1 — أصول تأسيسية عالية الأثر</x:v>
      </x:c>
      <x:c r="C20" s="60" t="str">
        <x:v>14:7</x:v>
      </x:c>
      <x:c r="D20" s="60" t="str">
        <x:v>وَإِذْ تَأَذَّنَ رَبُّكُمْ لَئِن شَكَرْتُمْ لَأَزِيدَنَّكُمْ وَلَئِن كَفَرْتُمْ إِنَّ عَذَابِى لَشَدِيدٌ</x:v>
      </x:c>
      <x:c r="E20" s="60" t="str">
        <x:v>CANDIDATE_DECISIVE</x:v>
      </x:c>
      <x:c r="F20" s="60" t="str">
        <x:v>مرشح عالي القيمة بسبب تنوع المجال أو الصيغة أو المشاركين أو المقابلة؛ يلزم إثبات سبب الحسم في Blind Analysis</x:v>
      </x:c>
      <x:c r="G20" s="60" t="str">
        <x:v>تُحدد الفرضيات التي يختبرها بعد بناء الملفات المحلية المستقلة</x:v>
      </x:c>
      <x:c r="H20" s="60" t="str">
        <x:v>HIGH — candidate</x:v>
      </x:c>
      <x:c r="I20" s="60" t="str">
        <x:v>https://corpus.quran.com/wordbyword.jsp?chapter=14&amp;verse=7</x:v>
      </x:c>
    </x:row>
    <x:row r="21">
      <x:c r="A21" s="60" t="str">
        <x:v>ك ف ر</x:v>
      </x:c>
      <x:c r="B21" s="60" t="str">
        <x:v>P1 — أصول تأسيسية عالية الأثر</x:v>
      </x:c>
      <x:c r="C21" s="60" t="str">
        <x:v>31:12</x:v>
      </x:c>
      <x:c r="D21" s="60" t="str">
        <x:v>وَلَقَدْ ءَاتَيْنَا لُقْمَٰنَ ٱلْحِكْمَةَ أَنِ ٱشْكُرْ لِلَّهِ وَمَن يَشْكُرْ فَإِنَّمَا يَشْكُرُ لِنَفْسِهِۦ وَمَن كَفَرَ فَإِنَّ ٱللَّهَ غَنِىٌّ حَمِيدٌ</x:v>
      </x:c>
      <x:c r="E21" s="60" t="str">
        <x:v>CANDIDATE_DECISIVE</x:v>
      </x:c>
      <x:c r="F21" s="60" t="str">
        <x:v>مرشح عالي القيمة بسبب تنوع المجال أو الصيغة أو المشاركين أو المقابلة؛ يلزم إثبات سبب الحسم في Blind Analysis</x:v>
      </x:c>
      <x:c r="G21" s="60" t="str">
        <x:v>تُحدد الفرضيات التي يختبرها بعد بناء الملفات المحلية المستقلة</x:v>
      </x:c>
      <x:c r="H21" s="60" t="str">
        <x:v>HIGH — candidate</x:v>
      </x:c>
      <x:c r="I21" s="60" t="str">
        <x:v>https://corpus.quran.com/wordbyword.jsp?chapter=31&amp;verse=12</x:v>
      </x:c>
    </x:row>
    <x:row r="22">
      <x:c r="A22" s="60" t="str">
        <x:v>ك ف ر</x:v>
      </x:c>
      <x:c r="B22" s="60" t="str">
        <x:v>P1 — أصول تأسيسية عالية الأثر</x:v>
      </x:c>
      <x:c r="C22" s="60" t="str">
        <x:v>29:25</x:v>
      </x:c>
      <x:c r="D22" s="60" t="str">
        <x:v>وَقَالَ إِنَّمَا ٱتَّخَذْتُم مِّن دُونِ ٱللَّهِ أَوْثَٰنًا مَّوَدَّةَ بَيْنِكُمْ فِى ٱلْحَيَوٰةِ ٱلدُّنْيَا ثُمَّ يَوْمَ ٱلْقِيَٰمَةِ يَكْفُرُ بَعْضُكُم بِبَعْضٍ وَيَلْعَنُ بَعْضُكُم بَعْضًا وَمَأْوَىٰكُمُ ٱلنَّارُ وَمَا لَكُم مِّن نَّٰصِرِينَ</x:v>
      </x:c>
      <x:c r="E22" s="60" t="str">
        <x:v>CANDIDATE_DECISIVE</x:v>
      </x:c>
      <x:c r="F22" s="60" t="str">
        <x:v>مرشح عالي القيمة بسبب تنوع المجال أو الصيغة أو المشاركين أو المقابلة؛ يلزم إثبات سبب الحسم في Blind Analysis</x:v>
      </x:c>
      <x:c r="G22" s="60" t="str">
        <x:v>تُحدد الفرضيات التي يختبرها بعد بناء الملفات المحلية المستقلة</x:v>
      </x:c>
      <x:c r="H22" s="60" t="str">
        <x:v>HIGH — candidate</x:v>
      </x:c>
      <x:c r="I22" s="60" t="str">
        <x:v>https://corpus.quran.com/wordbyword.jsp?chapter=29&amp;verse=25</x:v>
      </x:c>
    </x:row>
    <x:row r="23">
      <x:c r="A23" s="60" t="str">
        <x:v>ك ف ر</x:v>
      </x:c>
      <x:c r="B23" s="60" t="str">
        <x:v>P1 — أصول تأسيسية عالية الأثر</x:v>
      </x:c>
      <x:c r="C23" s="60" t="str">
        <x:v>2:257</x:v>
      </x:c>
      <x:c r="D23" s="60" t="str">
        <x:v>ٱللَّهُ وَلِىُّ ٱلَّذِينَ ءَامَنُوا۟ يُخْرِجُهُم مِّنَ ٱلظُّلُمَٰتِ إِلَى ٱلنُّورِ وَٱلَّذِينَ كَفَرُوٓا۟ أَوْلِيَآؤُهُمُ ٱلطَّٰغُوتُ يُخْرِجُونَهُم مِّنَ ٱلنُّورِ إِلَى ٱلظُّلُمَٰتِ أُو۟لَٰٓئِكَ أَصْحَٰبُ ٱلنَّارِ هُمْ فِيهَا خَٰلِدُونَ</x:v>
      </x:c>
      <x:c r="E23" s="60" t="str">
        <x:v>CANDIDATE_DECISIVE</x:v>
      </x:c>
      <x:c r="F23" s="60" t="str">
        <x:v>مرشح عالي القيمة بسبب تنوع المجال أو الصيغة أو المشاركين أو المقابلة؛ يلزم إثبات سبب الحسم في Blind Analysis</x:v>
      </x:c>
      <x:c r="G23" s="60" t="str">
        <x:v>تُحدد الفرضيات التي يختبرها بعد بناء الملفات المحلية المستقلة</x:v>
      </x:c>
      <x:c r="H23" s="60" t="str">
        <x:v>HIGH — candidate</x:v>
      </x:c>
      <x:c r="I23" s="60" t="str">
        <x:v>https://corpus.quran.com/wordbyword.jsp?chapter=2&amp;verse=257</x:v>
      </x:c>
    </x:row>
    <x:row r="24">
      <x:c r="A24" s="60" t="str">
        <x:v>ع ل م</x:v>
      </x:c>
      <x:c r="B24" s="60" t="str">
        <x:v>P1 — أصول تأسيسية عالية الأثر</x:v>
      </x:c>
      <x:c r="C24" s="60" t="str">
        <x:v>2:31</x:v>
      </x:c>
      <x:c r="D24" s="60" t="str">
        <x:v>وَعَلَّمَ ءَادَمَ ٱلْأَسْمَآءَ كُلَّهَا ثُمَّ عَرَضَهُمْ عَلَى ٱلْمَلَٰٓئِكَةِ فَقَالَ أَنۢبِـُٔونِى بِأَسْمَآءِ هَٰٓؤُلَآءِ إِن كُنتُمْ صَٰدِقِينَ</x:v>
      </x:c>
      <x:c r="E24" s="60" t="str">
        <x:v>CANDIDATE_DECISIVE</x:v>
      </x:c>
      <x:c r="F24" s="60" t="str">
        <x:v>مرشح عالي القيمة بسبب تنوع المجال أو الصيغة أو المشاركين أو المقابلة؛ يلزم إثبات سبب الحسم في Blind Analysis</x:v>
      </x:c>
      <x:c r="G24" s="60" t="str">
        <x:v>تُحدد الفرضيات التي يختبرها بعد بناء الملفات المحلية المستقلة</x:v>
      </x:c>
      <x:c r="H24" s="60" t="str">
        <x:v>HIGH — candidate</x:v>
      </x:c>
      <x:c r="I24" s="60" t="str">
        <x:v>https://corpus.quran.com/wordbyword.jsp?chapter=2&amp;verse=31</x:v>
      </x:c>
    </x:row>
    <x:row r="25">
      <x:c r="A25" s="60" t="str">
        <x:v>ع ل م</x:v>
      </x:c>
      <x:c r="B25" s="60" t="str">
        <x:v>P1 — أصول تأسيسية عالية الأثر</x:v>
      </x:c>
      <x:c r="C25" s="60" t="str">
        <x:v>96:4</x:v>
      </x:c>
      <x:c r="D25" s="60" t="str">
        <x:v>ٱلَّذِى عَلَّمَ بِٱلْقَلَمِ</x:v>
      </x:c>
      <x:c r="E25" s="60" t="str">
        <x:v>CANDIDATE_DECISIVE</x:v>
      </x:c>
      <x:c r="F25" s="60" t="str">
        <x:v>مرشح عالي القيمة بسبب تنوع المجال أو الصيغة أو المشاركين أو المقابلة؛ يلزم إثبات سبب الحسم في Blind Analysis</x:v>
      </x:c>
      <x:c r="G25" s="60" t="str">
        <x:v>تُحدد الفرضيات التي يختبرها بعد بناء الملفات المحلية المستقلة</x:v>
      </x:c>
      <x:c r="H25" s="60" t="str">
        <x:v>HIGH — candidate</x:v>
      </x:c>
      <x:c r="I25" s="60" t="str">
        <x:v>https://corpus.quran.com/wordbyword.jsp?chapter=96&amp;verse=4</x:v>
      </x:c>
    </x:row>
    <x:row r="26">
      <x:c r="A26" s="60" t="str">
        <x:v>ع ل م</x:v>
      </x:c>
      <x:c r="B26" s="60" t="str">
        <x:v>P1 — أصول تأسيسية عالية الأثر</x:v>
      </x:c>
      <x:c r="C26" s="60" t="str">
        <x:v>12:76</x:v>
      </x:c>
      <x:c r="D26" s="60" t="str">
        <x:v>فَبَدَأَ بِأَوْعِيَتِهِمْ قَبْلَ وِعَآءِ أَخِيهِ ثُمَّ ٱسْتَخْرَجَهَا مِن وِعَآءِ أَخِيهِ كَذَٰلِكَ كِدْنَا لِيُوسُفَ مَا كَانَ لِيَأْخُذَ أَخَاهُ فِى دِينِ ٱلْمَلِكِ إِلَّآ أَن يَشَآءَ ٱللَّهُ نَرْفَعُ دَرَجَٰتٍ مَّن نَّشَآءُ وَفَوْقَ كُلِّ ذِى عِلْمٍ عَلِيمٌ</x:v>
      </x:c>
      <x:c r="E26" s="60" t="str">
        <x:v>CANDIDATE_DECISIVE</x:v>
      </x:c>
      <x:c r="F26" s="60" t="str">
        <x:v>مرشح عالي القيمة بسبب تنوع المجال أو الصيغة أو المشاركين أو المقابلة؛ يلزم إثبات سبب الحسم في Blind Analysis</x:v>
      </x:c>
      <x:c r="G26" s="60" t="str">
        <x:v>تُحدد الفرضيات التي يختبرها بعد بناء الملفات المحلية المستقلة</x:v>
      </x:c>
      <x:c r="H26" s="60" t="str">
        <x:v>HIGH — candidate</x:v>
      </x:c>
      <x:c r="I26" s="60" t="str">
        <x:v>https://corpus.quran.com/wordbyword.jsp?chapter=12&amp;verse=76</x:v>
      </x:c>
    </x:row>
    <x:row r="27">
      <x:c r="A27" s="60" t="str">
        <x:v>ع ل م</x:v>
      </x:c>
      <x:c r="B27" s="60" t="str">
        <x:v>P1 — أصول تأسيسية عالية الأثر</x:v>
      </x:c>
      <x:c r="C27" s="60" t="str">
        <x:v>4:166</x:v>
      </x:c>
      <x:c r="D27" s="60" t="str">
        <x:v>لَّٰكِنِ ٱللَّهُ يَشْهَدُ بِمَآ أَنزَلَ إِلَيْكَ أَنزَلَهُۥ بِعِلْمِهِۦ وَٱلْمَلَٰٓئِكَةُ يَشْهَدُونَ وَكَفَىٰ بِٱللَّهِ شَهِيدًا</x:v>
      </x:c>
      <x:c r="E27" s="60" t="str">
        <x:v>CANDIDATE_DECISIVE</x:v>
      </x:c>
      <x:c r="F27" s="60" t="str">
        <x:v>مرشح عالي القيمة بسبب تنوع المجال أو الصيغة أو المشاركين أو المقابلة؛ يلزم إثبات سبب الحسم في Blind Analysis</x:v>
      </x:c>
      <x:c r="G27" s="60" t="str">
        <x:v>تُحدد الفرضيات التي يختبرها بعد بناء الملفات المحلية المستقلة</x:v>
      </x:c>
      <x:c r="H27" s="60" t="str">
        <x:v>HIGH — candidate</x:v>
      </x:c>
      <x:c r="I27" s="60" t="str">
        <x:v>https://corpus.quran.com/wordbyword.jsp?chapter=4&amp;verse=166</x:v>
      </x:c>
    </x:row>
    <x:row r="28">
      <x:c r="A28" s="60" t="str">
        <x:v>ب ي ن</x:v>
      </x:c>
      <x:c r="B28" s="60" t="str">
        <x:v>P1 — أصول تأسيسية عالية الأثر</x:v>
      </x:c>
      <x:c r="C28" s="60" t="str">
        <x:v>16:44</x:v>
      </x:c>
      <x:c r="D28" s="60" t="str">
        <x:v>بِٱلْبَيِّنَٰتِ وَٱلزُّبُرِ وَأَنزَلْنَآ إِلَيْكَ ٱلذِّكْرَ لِتُبَيِّنَ لِلنَّاسِ مَا نُزِّلَ إِلَيْهِمْ وَلَعَلَّهُمْ يَتَفَكَّرُونَ</x:v>
      </x:c>
      <x:c r="E28" s="60" t="str">
        <x:v>CANDIDATE_DECISIVE</x:v>
      </x:c>
      <x:c r="F28" s="60" t="str">
        <x:v>مرشح عالي القيمة بسبب تنوع المجال أو الصيغة أو المشاركين أو المقابلة؛ يلزم إثبات سبب الحسم في Blind Analysis</x:v>
      </x:c>
      <x:c r="G28" s="60" t="str">
        <x:v>تُحدد الفرضيات التي يختبرها بعد بناء الملفات المحلية المستقلة</x:v>
      </x:c>
      <x:c r="H28" s="60" t="str">
        <x:v>HIGH — candidate</x:v>
      </x:c>
      <x:c r="I28" s="60" t="str">
        <x:v>https://corpus.quran.com/wordbyword.jsp?chapter=16&amp;verse=44</x:v>
      </x:c>
    </x:row>
    <x:row r="29">
      <x:c r="A29" s="60" t="str">
        <x:v>ب ي ن</x:v>
      </x:c>
      <x:c r="B29" s="60" t="str">
        <x:v>P1 — أصول تأسيسية عالية الأثر</x:v>
      </x:c>
      <x:c r="C29" s="60" t="str">
        <x:v>55:4</x:v>
      </x:c>
      <x:c r="D29" s="60" t="str">
        <x:v>عَلَّمَهُ ٱلْبَيَانَ</x:v>
      </x:c>
      <x:c r="E29" s="60" t="str">
        <x:v>CANDIDATE_DECISIVE</x:v>
      </x:c>
      <x:c r="F29" s="60" t="str">
        <x:v>مرشح عالي القيمة بسبب تنوع المجال أو الصيغة أو المشاركين أو المقابلة؛ يلزم إثبات سبب الحسم في Blind Analysis</x:v>
      </x:c>
      <x:c r="G29" s="60" t="str">
        <x:v>تُحدد الفرضيات التي يختبرها بعد بناء الملفات المحلية المستقلة</x:v>
      </x:c>
      <x:c r="H29" s="60" t="str">
        <x:v>HIGH — candidate</x:v>
      </x:c>
      <x:c r="I29" s="60" t="str">
        <x:v>https://corpus.quran.com/wordbyword.jsp?chapter=55&amp;verse=4</x:v>
      </x:c>
    </x:row>
    <x:row r="30">
      <x:c r="A30" s="60" t="str">
        <x:v>ب ي ن</x:v>
      </x:c>
      <x:c r="B30" s="60" t="str">
        <x:v>P1 — أصول تأسيسية عالية الأثر</x:v>
      </x:c>
      <x:c r="C30" s="60" t="str">
        <x:v>2:185</x:v>
      </x:c>
      <x:c r="D30" s="60" t="str">
        <x:v>شَهْرُ رَمَضَانَ ٱلَّذِىٓ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x:v>
      </x:c>
      <x:c r="E30" s="60" t="str">
        <x:v>CANDIDATE_DECISIVE</x:v>
      </x:c>
      <x:c r="F30" s="60" t="str">
        <x:v>مرشح عالي القيمة بسبب تنوع المجال أو الصيغة أو المشاركين أو المقابلة؛ يلزم إثبات سبب الحسم في Blind Analysis</x:v>
      </x:c>
      <x:c r="G30" s="60" t="str">
        <x:v>تُحدد الفرضيات التي يختبرها بعد بناء الملفات المحلية المستقلة</x:v>
      </x:c>
      <x:c r="H30" s="60" t="str">
        <x:v>HIGH — candidate</x:v>
      </x:c>
      <x:c r="I30" s="60" t="str">
        <x:v>https://corpus.quran.com/wordbyword.jsp?chapter=2&amp;verse=185</x:v>
      </x:c>
    </x:row>
    <x:row r="31">
      <x:c r="A31" s="60" t="str">
        <x:v>ب ي ن</x:v>
      </x:c>
      <x:c r="B31" s="60" t="str">
        <x:v>P1 — أصول تأسيسية عالية الأثر</x:v>
      </x:c>
      <x:c r="C31" s="60" t="str">
        <x:v>3:138</x:v>
      </x:c>
      <x:c r="D31" s="60" t="str">
        <x:v>هَٰذَا بَيَانٌ لِّلنَّاسِ وَهُدًى وَمَوْعِظَةٌ لِّلْمُتَّقِينَ</x:v>
      </x:c>
      <x:c r="E31" s="60" t="str">
        <x:v>CANDIDATE_DECISIVE</x:v>
      </x:c>
      <x:c r="F31" s="60" t="str">
        <x:v>مرشح عالي القيمة بسبب تنوع المجال أو الصيغة أو المشاركين أو المقابلة؛ يلزم إثبات سبب الحسم في Blind Analysis</x:v>
      </x:c>
      <x:c r="G31" s="60" t="str">
        <x:v>تُحدد الفرضيات التي يختبرها بعد بناء الملفات المحلية المستقلة</x:v>
      </x:c>
      <x:c r="H31" s="60" t="str">
        <x:v>HIGH — candidate</x:v>
      </x:c>
      <x:c r="I31" s="60" t="str">
        <x:v>https://corpus.quran.com/wordbyword.jsp?chapter=3&amp;verse=138</x:v>
      </x:c>
    </x:row>
    <x:row r="32">
      <x:c r="A32" s="60" t="str">
        <x:v>ه د ي</x:v>
      </x:c>
      <x:c r="B32" s="60" t="str">
        <x:v>P1 — أصول تأسيسية عالية الأثر</x:v>
      </x:c>
      <x:c r="C32" s="60" t="str">
        <x:v>20:50</x:v>
      </x:c>
      <x:c r="D32" s="60" t="str">
        <x:v>قَالَ رَبُّنَا ٱلَّذِىٓ أَعْطَىٰ كُلَّ شَىْءٍ خَلْقَهُۥ ثُمَّ هَدَىٰ</x:v>
      </x:c>
      <x:c r="E32" s="60" t="str">
        <x:v>CANDIDATE_DECISIVE</x:v>
      </x:c>
      <x:c r="F32" s="60" t="str">
        <x:v>مرشح عالي القيمة بسبب تنوع المجال أو الصيغة أو المشاركين أو المقابلة؛ يلزم إثبات سبب الحسم في Blind Analysis</x:v>
      </x:c>
      <x:c r="G32" s="60" t="str">
        <x:v>تُحدد الفرضيات التي يختبرها بعد بناء الملفات المحلية المستقلة</x:v>
      </x:c>
      <x:c r="H32" s="60" t="str">
        <x:v>HIGH — candidate</x:v>
      </x:c>
      <x:c r="I32" s="60" t="str">
        <x:v>https://corpus.quran.com/wordbyword.jsp?chapter=20&amp;verse=50</x:v>
      </x:c>
    </x:row>
    <x:row r="33">
      <x:c r="A33" s="60" t="str">
        <x:v>ه د ي</x:v>
      </x:c>
      <x:c r="B33" s="60" t="str">
        <x:v>P1 — أصول تأسيسية عالية الأثر</x:v>
      </x:c>
      <x:c r="C33" s="60" t="str">
        <x:v>2:2</x:v>
      </x:c>
      <x:c r="D33" s="60" t="str">
        <x:v>ذَٰلِكَ ٱلْكِتَٰبُ لَا رَيْبَ فِيهِ هُدًى لِّلْمُتَّقِينَ</x:v>
      </x:c>
      <x:c r="E33" s="60" t="str">
        <x:v>CANDIDATE_DECISIVE</x:v>
      </x:c>
      <x:c r="F33" s="60" t="str">
        <x:v>مرشح عالي القيمة بسبب تنوع المجال أو الصيغة أو المشاركين أو المقابلة؛ يلزم إثبات سبب الحسم في Blind Analysis</x:v>
      </x:c>
      <x:c r="G33" s="60" t="str">
        <x:v>تُحدد الفرضيات التي يختبرها بعد بناء الملفات المحلية المستقلة</x:v>
      </x:c>
      <x:c r="H33" s="60" t="str">
        <x:v>HIGH — candidate</x:v>
      </x:c>
      <x:c r="I33" s="60" t="str">
        <x:v>https://corpus.quran.com/wordbyword.jsp?chapter=2&amp;verse=2</x:v>
      </x:c>
    </x:row>
    <x:row r="34">
      <x:c r="A34" s="60" t="str">
        <x:v>ه د ي</x:v>
      </x:c>
      <x:c r="B34" s="60" t="str">
        <x:v>P1 — أصول تأسيسية عالية الأثر</x:v>
      </x:c>
      <x:c r="C34" s="60" t="str">
        <x:v>28:56</x:v>
      </x:c>
      <x:c r="D34" s="60" t="str">
        <x:v>إِنَّكَ لَا تَهْدِى مَنْ أَحْبَبْتَ وَلَٰكِنَّ ٱللَّهَ يَهْدِى مَن يَشَآءُ وَهُوَ أَعْلَمُ بِٱلْمُهْتَدِينَ</x:v>
      </x:c>
      <x:c r="E34" s="60" t="str">
        <x:v>CANDIDATE_DECISIVE</x:v>
      </x:c>
      <x:c r="F34" s="60" t="str">
        <x:v>مرشح عالي القيمة بسبب تنوع المجال أو الصيغة أو المشاركين أو المقابلة؛ يلزم إثبات سبب الحسم في Blind Analysis</x:v>
      </x:c>
      <x:c r="G34" s="60" t="str">
        <x:v>تُحدد الفرضيات التي يختبرها بعد بناء الملفات المحلية المستقلة</x:v>
      </x:c>
      <x:c r="H34" s="60" t="str">
        <x:v>HIGH — candidate</x:v>
      </x:c>
      <x:c r="I34" s="60" t="str">
        <x:v>https://corpus.quran.com/wordbyword.jsp?chapter=28&amp;verse=56</x:v>
      </x:c>
    </x:row>
    <x:row r="35">
      <x:c r="A35" s="60" t="str">
        <x:v>ه د ي</x:v>
      </x:c>
      <x:c r="B35" s="60" t="str">
        <x:v>P1 — أصول تأسيسية عالية الأثر</x:v>
      </x:c>
      <x:c r="C35" s="60" t="str">
        <x:v>6:71</x:v>
      </x:c>
      <x:c r="D35" s="60" t="str">
        <x:v>قُلْ أَنَدْعُوا۟ مِن دُونِ ٱللَّهِ مَا لَا يَنفَعُنَا وَلَا يَضُرُّنَا وَنُرَدُّ عَلَىٰٓ أَعْقَابِنَا بَعْدَ إِذْ هَدَىٰنَا ٱللَّهُ كَٱلَّذِى ٱسْتَهْوَتْهُ ٱلشَّيَٰطِينُ فِى ٱلْأَرْضِ حَيْرَانَ لَهُۥٓ أَصْحَٰبٌ يَدْعُونَهُۥٓ إِلَى ٱلْهُدَى ٱئْتِنَا قُلْ إِنَّ هُدَى ٱللَّهِ هُوَ ٱلْهُدَىٰ وَأُمِرْنَا لِنُسْلِمَ لِرَبِّ ٱلْعَٰلَمِينَ</x:v>
      </x:c>
      <x:c r="E35" s="60" t="str">
        <x:v>CANDIDATE_DECISIVE</x:v>
      </x:c>
      <x:c r="F35" s="60" t="str">
        <x:v>مرشح عالي القيمة بسبب تنوع المجال أو الصيغة أو المشاركين أو المقابلة؛ يلزم إثبات سبب الحسم في Blind Analysis</x:v>
      </x:c>
      <x:c r="G35" s="60" t="str">
        <x:v>تُحدد الفرضيات التي يختبرها بعد بناء الملفات المحلية المستقلة</x:v>
      </x:c>
      <x:c r="H35" s="60" t="str">
        <x:v>HIGH — candidate</x:v>
      </x:c>
      <x:c r="I35" s="60" t="str">
        <x:v>https://corpus.quran.com/wordbyword.jsp?chapter=6&amp;verse=71</x:v>
      </x:c>
    </x:row>
    <x:row r="36">
      <x:c r="A36" s="60" t="str">
        <x:v>ظ ل م</x:v>
      </x:c>
      <x:c r="B36" s="60" t="str">
        <x:v>P1 — أصول تأسيسية عالية الأثر</x:v>
      </x:c>
      <x:c r="C36" s="60" t="str">
        <x:v>18:33</x:v>
      </x:c>
      <x:c r="D36" s="60" t="str">
        <x:v>كِلْتَا ٱلْجَنَّتَيْنِ ءَاتَتْ أُكُلَهَا وَلَمْ تَظْلِم مِّنْهُ شَيْـًٔا وَفَجَّرْنَا خِلَٰلَهُمَا نَهَرًا</x:v>
      </x:c>
      <x:c r="E36" s="60" t="str">
        <x:v>CANDIDATE_DECISIVE</x:v>
      </x:c>
      <x:c r="F36" s="60" t="str">
        <x:v>مرشح عالي القيمة بسبب تنوع المجال أو الصيغة أو المشاركين أو المقابلة؛ يلزم إثبات سبب الحسم في Blind Analysis</x:v>
      </x:c>
      <x:c r="G36" s="60" t="str">
        <x:v>تُحدد الفرضيات التي يختبرها بعد بناء الملفات المحلية المستقلة</x:v>
      </x:c>
      <x:c r="H36" s="60" t="str">
        <x:v>HIGH — candidate</x:v>
      </x:c>
      <x:c r="I36" s="60" t="str">
        <x:v>https://corpus.quran.com/wordbyword.jsp?chapter=18&amp;verse=33</x:v>
      </x:c>
    </x:row>
    <x:row r="37">
      <x:c r="A37" s="60" t="str">
        <x:v>ظ ل م</x:v>
      </x:c>
      <x:c r="B37" s="60" t="str">
        <x:v>P1 — أصول تأسيسية عالية الأثر</x:v>
      </x:c>
      <x:c r="C37" s="60" t="str">
        <x:v>2:57</x:v>
      </x:c>
      <x:c r="D37" s="60" t="str">
        <x:v>وَظَلَّلْنَا عَلَيْكُمُ ٱلْغَمَامَ وَأَنزَلْنَا عَلَيْكُمُ ٱلْمَنَّ وَٱلسَّلْوَىٰ كُلُوا۟ مِن طَيِّبَٰتِ مَا رَزَقْنَٰكُمْ وَمَا ظَلَمُونَا وَلَٰكِن كَانُوٓا۟ أَنفُسَهُمْ يَظْلِمُونَ</x:v>
      </x:c>
      <x:c r="E37" s="60" t="str">
        <x:v>CANDIDATE_DECISIVE</x:v>
      </x:c>
      <x:c r="F37" s="60" t="str">
        <x:v>مرشح عالي القيمة بسبب تنوع المجال أو الصيغة أو المشاركين أو المقابلة؛ يلزم إثبات سبب الحسم في Blind Analysis</x:v>
      </x:c>
      <x:c r="G37" s="60" t="str">
        <x:v>تُحدد الفرضيات التي يختبرها بعد بناء الملفات المحلية المستقلة</x:v>
      </x:c>
      <x:c r="H37" s="60" t="str">
        <x:v>HIGH — candidate</x:v>
      </x:c>
      <x:c r="I37" s="60" t="str">
        <x:v>https://corpus.quran.com/wordbyword.jsp?chapter=2&amp;verse=57</x:v>
      </x:c>
    </x:row>
    <x:row r="38">
      <x:c r="A38" s="60" t="str">
        <x:v>ظ ل م</x:v>
      </x:c>
      <x:c r="B38" s="60" t="str">
        <x:v>P1 — أصول تأسيسية عالية الأثر</x:v>
      </x:c>
      <x:c r="C38" s="60" t="str">
        <x:v>31:13</x:v>
      </x:c>
      <x:c r="D38" s="60" t="str">
        <x:v>وَإِذْ قَالَ لُقْمَٰنُ لِٱبْنِهِۦ وَهُوَ يَعِظُهُۥ يَٰبُنَىَّ لَا تُشْرِكْ بِٱللَّهِ إِنَّ ٱلشِّرْكَ لَظُلْمٌ عَظِيمٌ</x:v>
      </x:c>
      <x:c r="E38" s="60" t="str">
        <x:v>CANDIDATE_DECISIVE</x:v>
      </x:c>
      <x:c r="F38" s="60" t="str">
        <x:v>مرشح عالي القيمة بسبب تنوع المجال أو الصيغة أو المشاركين أو المقابلة؛ يلزم إثبات سبب الحسم في Blind Analysis</x:v>
      </x:c>
      <x:c r="G38" s="60" t="str">
        <x:v>تُحدد الفرضيات التي يختبرها بعد بناء الملفات المحلية المستقلة</x:v>
      </x:c>
      <x:c r="H38" s="60" t="str">
        <x:v>HIGH — candidate</x:v>
      </x:c>
      <x:c r="I38" s="60" t="str">
        <x:v>https://corpus.quran.com/wordbyword.jsp?chapter=31&amp;verse=13</x:v>
      </x:c>
    </x:row>
    <x:row r="39">
      <x:c r="A39" s="60" t="str">
        <x:v>ظ ل م</x:v>
      </x:c>
      <x:c r="B39" s="60" t="str">
        <x:v>P1 — أصول تأسيسية عالية الأثر</x:v>
      </x:c>
      <x:c r="C39" s="60" t="str">
        <x:v>4:40</x:v>
      </x:c>
      <x:c r="D39" s="60" t="str">
        <x:v>إِنَّ ٱللَّهَ لَا يَظْلِمُ مِثْقَالَ ذَرَّةٍ وَإِن تَكُ حَسَنَةً يُضَٰعِفْهَا وَيُؤْتِ مِن لَّدُنْهُ أَجْرًا عَظِيمًا</x:v>
      </x:c>
      <x:c r="E39" s="60" t="str">
        <x:v>CANDIDATE_DECISIVE</x:v>
      </x:c>
      <x:c r="F39" s="60" t="str">
        <x:v>مرشح عالي القيمة بسبب تنوع المجال أو الصيغة أو المشاركين أو المقابلة؛ يلزم إثبات سبب الحسم في Blind Analysis</x:v>
      </x:c>
      <x:c r="G39" s="60" t="str">
        <x:v>تُحدد الفرضيات التي يختبرها بعد بناء الملفات المحلية المستقلة</x:v>
      </x:c>
      <x:c r="H39" s="60" t="str">
        <x:v>HIGH — candidate</x:v>
      </x:c>
      <x:c r="I39" s="60" t="str">
        <x:v>https://corpus.quran.com/wordbyword.jsp?chapter=4&amp;verse=40</x:v>
      </x:c>
    </x:row>
    <x:row r="40">
      <x:c r="A40" s="60" t="str">
        <x:v>ح ك م</x:v>
      </x:c>
      <x:c r="B40" s="60" t="str">
        <x:v>P1 — أصول تأسيسية عالية الأثر</x:v>
      </x:c>
      <x:c r="C40" s="60" t="str">
        <x:v>11:1</x:v>
      </x:c>
      <x:c r="D40" s="60" t="str">
        <x:v>الٓر كِتَٰبٌ أُحْكِمَتْ ءَايَٰتُهُۥ ثُمَّ فُصِّلَتْ مِن لَّدُنْ حَكِيمٍ خَبِيرٍ</x:v>
      </x:c>
      <x:c r="E40" s="60" t="str">
        <x:v>CANDIDATE_DECISIVE</x:v>
      </x:c>
      <x:c r="F40" s="60" t="str">
        <x:v>مرشح عالي القيمة بسبب تنوع المجال أو الصيغة أو المشاركين أو المقابلة؛ يلزم إثبات سبب الحسم في Blind Analysis</x:v>
      </x:c>
      <x:c r="G40" s="60" t="str">
        <x:v>تُحدد الفرضيات التي يختبرها بعد بناء الملفات المحلية المستقلة</x:v>
      </x:c>
      <x:c r="H40" s="60" t="str">
        <x:v>HIGH — candidate</x:v>
      </x:c>
      <x:c r="I40" s="60" t="str">
        <x:v>https://corpus.quran.com/wordbyword.jsp?chapter=11&amp;verse=1</x:v>
      </x:c>
    </x:row>
    <x:row r="41">
      <x:c r="A41" s="60" t="str">
        <x:v>ح ك م</x:v>
      </x:c>
      <x:c r="B41" s="60" t="str">
        <x:v>P1 — أصول تأسيسية عالية الأثر</x:v>
      </x:c>
      <x:c r="C41" s="60" t="str">
        <x:v>4:65</x:v>
      </x:c>
      <x:c r="D41" s="60" t="str">
        <x:v>فَلَا وَرَبِّكَ لَا يُؤْمِنُونَ حَتَّىٰ يُحَكِّمُوكَ فِيمَا شَجَرَ بَيْنَهُمْ ثُمَّ لَا يَجِدُوا۟ فِىٓ أَنفُسِهِمْ حَرَجًا مِّمَّا قَضَيْتَ وَيُسَلِّمُوا۟ تَسْلِيمًا</x:v>
      </x:c>
      <x:c r="E41" s="60" t="str">
        <x:v>CANDIDATE_DECISIVE</x:v>
      </x:c>
      <x:c r="F41" s="60" t="str">
        <x:v>مرشح عالي القيمة بسبب تنوع المجال أو الصيغة أو المشاركين أو المقابلة؛ يلزم إثبات سبب الحسم في Blind Analysis</x:v>
      </x:c>
      <x:c r="G41" s="60" t="str">
        <x:v>تُحدد الفرضيات التي يختبرها بعد بناء الملفات المحلية المستقلة</x:v>
      </x:c>
      <x:c r="H41" s="60" t="str">
        <x:v>HIGH — candidate</x:v>
      </x:c>
      <x:c r="I41" s="60" t="str">
        <x:v>https://corpus.quran.com/wordbyword.jsp?chapter=4&amp;verse=65</x:v>
      </x:c>
    </x:row>
    <x:row r="42">
      <x:c r="A42" s="60" t="str">
        <x:v>ح ك م</x:v>
      </x:c>
      <x:c r="B42" s="60" t="str">
        <x:v>P1 — أصول تأسيسية عالية الأثر</x:v>
      </x:c>
      <x:c r="C42" s="60" t="str">
        <x:v>12:40</x:v>
      </x:c>
      <x:c r="D42" s="60" t="str">
        <x:v>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x:v>
      </x:c>
      <x:c r="E42" s="60" t="str">
        <x:v>CANDIDATE_DECISIVE</x:v>
      </x:c>
      <x:c r="F42" s="60" t="str">
        <x:v>مرشح عالي القيمة بسبب تنوع المجال أو الصيغة أو المشاركين أو المقابلة؛ يلزم إثبات سبب الحسم في Blind Analysis</x:v>
      </x:c>
      <x:c r="G42" s="60" t="str">
        <x:v>تُحدد الفرضيات التي يختبرها بعد بناء الملفات المحلية المستقلة</x:v>
      </x:c>
      <x:c r="H42" s="60" t="str">
        <x:v>HIGH — candidate</x:v>
      </x:c>
      <x:c r="I42" s="60" t="str">
        <x:v>https://corpus.quran.com/wordbyword.jsp?chapter=12&amp;verse=40</x:v>
      </x:c>
    </x:row>
    <x:row r="43">
      <x:c r="A43" s="60" t="str">
        <x:v>ح ك م</x:v>
      </x:c>
      <x:c r="B43" s="60" t="str">
        <x:v>P1 — أصول تأسيسية عالية الأثر</x:v>
      </x:c>
      <x:c r="C43" s="60" t="str">
        <x:v>21:78</x:v>
      </x:c>
      <x:c r="D43" s="60" t="str">
        <x:v>وَدَاوُۥدَ وَسُلَيْمَٰنَ إِذْ يَحْكُمَانِ فِى ٱلْحَرْثِ إِذْ نَفَشَتْ فِيهِ غَنَمُ ٱلْقَوْمِ وَكُنَّا لِحُكْمِهِمْ شَٰهِدِينَ</x:v>
      </x:c>
      <x:c r="E43" s="60" t="str">
        <x:v>CANDIDATE_DECISIVE</x:v>
      </x:c>
      <x:c r="F43" s="60" t="str">
        <x:v>مرشح عالي القيمة بسبب تنوع المجال أو الصيغة أو المشاركين أو المقابلة؛ يلزم إثبات سبب الحسم في Blind Analysis</x:v>
      </x:c>
      <x:c r="G43" s="60" t="str">
        <x:v>تُحدد الفرضيات التي يختبرها بعد بناء الملفات المحلية المستقلة</x:v>
      </x:c>
      <x:c r="H43" s="60" t="str">
        <x:v>HIGH — candidate</x:v>
      </x:c>
      <x:c r="I43" s="60" t="str">
        <x:v>https://corpus.quran.com/wordbyword.jsp?chapter=21&amp;verse=78</x:v>
      </x:c>
    </x:row>
    <x:row r="44">
      <x:c r="A44" s="60" t="str">
        <x:v>خ ل ق</x:v>
      </x:c>
      <x:c r="B44" s="60" t="str">
        <x:v>P1 — أصول تأسيسية عالية الأثر</x:v>
      </x:c>
      <x:c r="C44" s="60" t="str">
        <x:v>4:1</x:v>
      </x:c>
      <x:c r="D44" s="60" t="str">
        <x:v>يَٰٓأَيُّهَا ٱلنَّاسُ ٱتَّقُوا۟ رَبَّكُمُ ٱلَّذِى خَلَقَكُم مِّن نَّفْسٍ وَٰحِدَةٍ وَخَلَقَ مِنْهَا زَوْجَهَا وَبَثَّ مِنْهُمَا رِجَالًا كَثِيرًا وَنِسَآءً وَٱتَّقُوا۟ ٱللَّهَ ٱلَّذِى تَسَآءَلُونَ بِهِۦ وَٱلْأَرْحَامَ إِنَّ ٱللَّهَ كَانَ عَلَيْكُمْ رَقِيبًا</x:v>
      </x:c>
      <x:c r="E44" s="60" t="str">
        <x:v>CANDIDATE_DECISIVE</x:v>
      </x:c>
      <x:c r="F44" s="60" t="str">
        <x:v>مرشح عالي القيمة بسبب تنوع المجال أو الصيغة أو المشاركين أو المقابلة؛ يلزم إثبات سبب الحسم في Blind Analysis</x:v>
      </x:c>
      <x:c r="G44" s="60" t="str">
        <x:v>تُحدد الفرضيات التي يختبرها بعد بناء الملفات المحلية المستقلة</x:v>
      </x:c>
      <x:c r="H44" s="60" t="str">
        <x:v>HIGH — candidate</x:v>
      </x:c>
      <x:c r="I44" s="60" t="str">
        <x:v>https://corpus.quran.com/wordbyword.jsp?chapter=4&amp;verse=1</x:v>
      </x:c>
    </x:row>
    <x:row r="45">
      <x:c r="A45" s="60" t="str">
        <x:v>خ ل ق</x:v>
      </x:c>
      <x:c r="B45" s="60" t="str">
        <x:v>P1 — أصول تأسيسية عالية الأثر</x:v>
      </x:c>
      <x:c r="C45" s="60" t="str">
        <x:v>23:14</x:v>
      </x:c>
      <x:c r="D45" s="60" t="str">
        <x:v>ثُمَّ خَلَقْنَا ٱلنُّطْفَةَ عَلَقَةً فَخَلَقْنَا ٱلْعَلَقَةَ مُضْغَةً فَخَلَقْنَا ٱلْمُضْغَةَ عِظَٰمًا فَكَسَوْنَا ٱلْعِظَٰمَ لَحْمًا ثُمَّ أَنشَأْنَٰهُ خَلْقًا ءَاخَرَ فَتَبَارَكَ ٱللَّهُ أَحْسَنُ ٱلْخَٰلِقِينَ</x:v>
      </x:c>
      <x:c r="E45" s="60" t="str">
        <x:v>CANDIDATE_DECISIVE</x:v>
      </x:c>
      <x:c r="F45" s="60" t="str">
        <x:v>مرشح عالي القيمة بسبب تنوع المجال أو الصيغة أو المشاركين أو المقابلة؛ يلزم إثبات سبب الحسم في Blind Analysis</x:v>
      </x:c>
      <x:c r="G45" s="60" t="str">
        <x:v>تُحدد الفرضيات التي يختبرها بعد بناء الملفات المحلية المستقلة</x:v>
      </x:c>
      <x:c r="H45" s="60" t="str">
        <x:v>HIGH — candidate</x:v>
      </x:c>
      <x:c r="I45" s="60" t="str">
        <x:v>https://corpus.quran.com/wordbyword.jsp?chapter=23&amp;verse=14</x:v>
      </x:c>
    </x:row>
    <x:row r="46">
      <x:c r="A46" s="60" t="str">
        <x:v>خ ل ق</x:v>
      </x:c>
      <x:c r="B46" s="60" t="str">
        <x:v>P1 — أصول تأسيسية عالية الأثر</x:v>
      </x:c>
      <x:c r="C46" s="60" t="str">
        <x:v>29:17</x:v>
      </x:c>
      <x:c r="D46" s="60" t="str">
        <x:v>إِنَّمَا تَعْبُدُونَ مِن دُونِ ٱللَّهِ أَوْثَٰنًا وَتَخْلُقُونَ إِفْكًا إِنَّ ٱلَّذِينَ تَعْبُدُونَ مِن دُونِ ٱللَّهِ لَا يَمْلِكُونَ لَكُمْ رِزْقًا فَٱبْتَغُوا۟ عِندَ ٱللَّهِ ٱلرِّزْقَ وَٱعْبُدُوهُ وَٱشْكُرُوا۟ لَهُۥٓ إِلَيْهِ تُرْجَعُونَ</x:v>
      </x:c>
      <x:c r="E46" s="60" t="str">
        <x:v>CANDIDATE_DECISIVE</x:v>
      </x:c>
      <x:c r="F46" s="60" t="str">
        <x:v>مرشح عالي القيمة بسبب تنوع المجال أو الصيغة أو المشاركين أو المقابلة؛ يلزم إثبات سبب الحسم في Blind Analysis</x:v>
      </x:c>
      <x:c r="G46" s="60" t="str">
        <x:v>تُحدد الفرضيات التي يختبرها بعد بناء الملفات المحلية المستقلة</x:v>
      </x:c>
      <x:c r="H46" s="60" t="str">
        <x:v>HIGH — candidate</x:v>
      </x:c>
      <x:c r="I46" s="60" t="str">
        <x:v>https://corpus.quran.com/wordbyword.jsp?chapter=29&amp;verse=17</x:v>
      </x:c>
    </x:row>
    <x:row r="47">
      <x:c r="A47" s="60" t="str">
        <x:v>خ ل ق</x:v>
      </x:c>
      <x:c r="B47" s="60" t="str">
        <x:v>P1 — أصول تأسيسية عالية الأثر</x:v>
      </x:c>
      <x:c r="C47" s="60" t="str">
        <x:v>20:50</x:v>
      </x:c>
      <x:c r="D47" s="60" t="str">
        <x:v>قَالَ رَبُّنَا ٱلَّذِىٓ أَعْطَىٰ كُلَّ شَىْءٍ خَلْقَهُۥ ثُمَّ هَدَىٰ</x:v>
      </x:c>
      <x:c r="E47" s="60" t="str">
        <x:v>CANDIDATE_DECISIVE</x:v>
      </x:c>
      <x:c r="F47" s="60" t="str">
        <x:v>مرشح عالي القيمة بسبب تنوع المجال أو الصيغة أو المشاركين أو المقابلة؛ يلزم إثبات سبب الحسم في Blind Analysis</x:v>
      </x:c>
      <x:c r="G47" s="60" t="str">
        <x:v>تُحدد الفرضيات التي يختبرها بعد بناء الملفات المحلية المستقلة</x:v>
      </x:c>
      <x:c r="H47" s="60" t="str">
        <x:v>HIGH — candidate</x:v>
      </x:c>
      <x:c r="I47" s="60" t="str">
        <x:v>https://corpus.quran.com/wordbyword.jsp?chapter=20&amp;verse=50</x:v>
      </x:c>
    </x:row>
    <x:row r="48">
      <x:c r="A48" s="60" t="str">
        <x:v>ق و ل</x:v>
      </x:c>
      <x:c r="B48" s="60" t="str">
        <x:v>P1 — أصول تأسيسية عالية الأثر</x:v>
      </x:c>
      <x:c r="C48" s="60" t="str">
        <x:v>33:70</x:v>
      </x:c>
      <x:c r="D48" s="60" t="str">
        <x:v>يَٰٓأَيُّهَا ٱلَّذِينَ ءَامَنُوا۟ ٱتَّقُوا۟ ٱللَّهَ وَقُولُوا۟ قَوْلًا سَدِيدًا</x:v>
      </x:c>
      <x:c r="E48" s="60" t="str">
        <x:v>CANDIDATE_DECISIVE</x:v>
      </x:c>
      <x:c r="F48" s="60" t="str">
        <x:v>مرشح عالي القيمة بسبب تنوع المجال أو الصيغة أو المشاركين أو المقابلة؛ يلزم إثبات سبب الحسم في Blind Analysis</x:v>
      </x:c>
      <x:c r="G48" s="60" t="str">
        <x:v>تُحدد الفرضيات التي يختبرها بعد بناء الملفات المحلية المستقلة</x:v>
      </x:c>
      <x:c r="H48" s="60" t="str">
        <x:v>HIGH — candidate</x:v>
      </x:c>
      <x:c r="I48" s="60" t="str">
        <x:v>https://corpus.quran.com/wordbyword.jsp?chapter=33&amp;verse=70</x:v>
      </x:c>
    </x:row>
    <x:row r="49">
      <x:c r="A49" s="60" t="str">
        <x:v>ق و ل</x:v>
      </x:c>
      <x:c r="B49" s="60" t="str">
        <x:v>P1 — أصول تأسيسية عالية الأثر</x:v>
      </x:c>
      <x:c r="C49" s="60" t="str">
        <x:v>2:8</x:v>
      </x:c>
      <x:c r="D49" s="60" t="str">
        <x:v>وَمِنَ ٱلنَّاسِ مَن يَقُولُ ءَامَنَّا بِٱللَّهِ وَبِٱلْيَوْمِ ٱلْءَاخِرِ وَمَا هُم بِمُؤْمِنِينَ</x:v>
      </x:c>
      <x:c r="E49" s="60" t="str">
        <x:v>CANDIDATE_DECISIVE</x:v>
      </x:c>
      <x:c r="F49" s="60" t="str">
        <x:v>مرشح عالي القيمة بسبب تنوع المجال أو الصيغة أو المشاركين أو المقابلة؛ يلزم إثبات سبب الحسم في Blind Analysis</x:v>
      </x:c>
      <x:c r="G49" s="60" t="str">
        <x:v>تُحدد الفرضيات التي يختبرها بعد بناء الملفات المحلية المستقلة</x:v>
      </x:c>
      <x:c r="H49" s="60" t="str">
        <x:v>HIGH — candidate</x:v>
      </x:c>
      <x:c r="I49" s="60" t="str">
        <x:v>https://corpus.quran.com/wordbyword.jsp?chapter=2&amp;verse=8</x:v>
      </x:c>
    </x:row>
    <x:row r="50">
      <x:c r="A50" s="60" t="str">
        <x:v>ق و ل</x:v>
      </x:c>
      <x:c r="B50" s="60" t="str">
        <x:v>P1 — أصول تأسيسية عالية الأثر</x:v>
      </x:c>
      <x:c r="C50" s="60" t="str">
        <x:v>36:82</x:v>
      </x:c>
      <x:c r="D50" s="60" t="str">
        <x:v>إِنَّمَآ أَمْرُهُۥٓ إِذَآ أَرَادَ شَيْـًٔا أَن يَقُولَ لَهُۥ كُن فَيَكُونُ</x:v>
      </x:c>
      <x:c r="E50" s="60" t="str">
        <x:v>CANDIDATE_DECISIVE</x:v>
      </x:c>
      <x:c r="F50" s="60" t="str">
        <x:v>مرشح عالي القيمة بسبب تنوع المجال أو الصيغة أو المشاركين أو المقابلة؛ يلزم إثبات سبب الحسم في Blind Analysis</x:v>
      </x:c>
      <x:c r="G50" s="60" t="str">
        <x:v>تُحدد الفرضيات التي يختبرها بعد بناء الملفات المحلية المستقلة</x:v>
      </x:c>
      <x:c r="H50" s="60" t="str">
        <x:v>HIGH — candidate</x:v>
      </x:c>
      <x:c r="I50" s="60" t="str">
        <x:v>https://corpus.quran.com/wordbyword.jsp?chapter=36&amp;verse=82</x:v>
      </x:c>
    </x:row>
    <x:row r="51">
      <x:c r="A51" s="60" t="str">
        <x:v>ق و ل</x:v>
      </x:c>
      <x:c r="B51" s="60" t="str">
        <x:v>P1 — أصول تأسيسية عالية الأثر</x:v>
      </x:c>
      <x:c r="C51" s="60" t="str">
        <x:v>4:148</x:v>
      </x:c>
      <x:c r="D51" s="60" t="str">
        <x:v>لَّا يُحِبُّ ٱللَّهُ ٱلْجَهْرَ بِٱلسُّوٓءِ مِنَ ٱلْقَوْلِ إِلَّا مَن ظُلِمَ وَكَانَ ٱللَّهُ سَمِيعًا عَلِيمًا</x:v>
      </x:c>
      <x:c r="E51" s="60" t="str">
        <x:v>CANDIDATE_DECISIVE</x:v>
      </x:c>
      <x:c r="F51" s="60" t="str">
        <x:v>مرشح عالي القيمة بسبب تنوع المجال أو الصيغة أو المشاركين أو المقابلة؛ يلزم إثبات سبب الحسم في Blind Analysis</x:v>
      </x:c>
      <x:c r="G51" s="60" t="str">
        <x:v>تُحدد الفرضيات التي يختبرها بعد بناء الملفات المحلية المستقلة</x:v>
      </x:c>
      <x:c r="H51" s="60" t="str">
        <x:v>HIGH — candidate</x:v>
      </x:c>
      <x:c r="I51" s="60" t="str">
        <x:v>https://corpus.quran.com/wordbyword.jsp?chapter=4&amp;verse=148</x:v>
      </x:c>
    </x:row>
    <x:row r="52">
      <x:c r="A52" s="60" t="str">
        <x:v>ق د ر</x:v>
      </x:c>
      <x:c r="B52" s="60" t="str">
        <x:v>P1 — أصول تأسيسية عالية الأثر</x:v>
      </x:c>
      <x:c r="C52" s="60" t="str">
        <x:v>15:21</x:v>
      </x:c>
      <x:c r="D52" s="60" t="str">
        <x:v>وَإِن مِّن شَىْءٍ إِلَّا عِندَنَا خَزَآئِنُهُۥ وَمَا نُنَزِّلُهُۥٓ إِلَّا بِقَدَرٍ مَّعْلُومٍ</x:v>
      </x:c>
      <x:c r="E52" s="60" t="str">
        <x:v>CANDIDATE_DECISIVE</x:v>
      </x:c>
      <x:c r="F52" s="60" t="str">
        <x:v>مرشح عالي القيمة بسبب تنوع المجال أو الصيغة أو المشاركين أو المقابلة؛ يلزم إثبات سبب الحسم في Blind Analysis</x:v>
      </x:c>
      <x:c r="G52" s="60" t="str">
        <x:v>تُحدد الفرضيات التي يختبرها بعد بناء الملفات المحلية المستقلة</x:v>
      </x:c>
      <x:c r="H52" s="60" t="str">
        <x:v>HIGH — candidate</x:v>
      </x:c>
      <x:c r="I52" s="60" t="str">
        <x:v>https://corpus.quran.com/wordbyword.jsp?chapter=15&amp;verse=21</x:v>
      </x:c>
    </x:row>
    <x:row r="53">
      <x:c r="A53" s="60" t="str">
        <x:v>ق د ر</x:v>
      </x:c>
      <x:c r="B53" s="60" t="str">
        <x:v>P1 — أصول تأسيسية عالية الأثر</x:v>
      </x:c>
      <x:c r="C53" s="60" t="str">
        <x:v>54:49</x:v>
      </x:c>
      <x:c r="D53" s="60" t="str">
        <x:v>إِنَّا كُلَّ شَىْءٍ خَلَقْنَٰهُ بِقَدَرٍ</x:v>
      </x:c>
      <x:c r="E53" s="60" t="str">
        <x:v>CANDIDATE_DECISIVE</x:v>
      </x:c>
      <x:c r="F53" s="60" t="str">
        <x:v>مرشح عالي القيمة بسبب تنوع المجال أو الصيغة أو المشاركين أو المقابلة؛ يلزم إثبات سبب الحسم في Blind Analysis</x:v>
      </x:c>
      <x:c r="G53" s="60" t="str">
        <x:v>تُحدد الفرضيات التي يختبرها بعد بناء الملفات المحلية المستقلة</x:v>
      </x:c>
      <x:c r="H53" s="60" t="str">
        <x:v>HIGH — candidate</x:v>
      </x:c>
      <x:c r="I53" s="60" t="str">
        <x:v>https://corpus.quran.com/wordbyword.jsp?chapter=54&amp;verse=49</x:v>
      </x:c>
    </x:row>
    <x:row r="54">
      <x:c r="A54" s="60" t="str">
        <x:v>ق د ر</x:v>
      </x:c>
      <x:c r="B54" s="60" t="str">
        <x:v>P1 — أصول تأسيسية عالية الأثر</x:v>
      </x:c>
      <x:c r="C54" s="60" t="str">
        <x:v>65:3</x:v>
      </x:c>
      <x:c r="D54" s="60" t="str">
        <x:v>وَيَرْزُقْهُ مِنْ حَيْثُ لَا يَحْتَسِبُ وَمَن يَتَوَكَّلْ عَلَى ٱللَّهِ فَهُوَ حَسْبُهُۥٓ إِنَّ ٱللَّهَ بَٰلِغُ أَمْرِهِۦ قَدْ جَعَلَ ٱللَّهُ لِكُلِّ شَىْءٍ قَدْرًا</x:v>
      </x:c>
      <x:c r="E54" s="60" t="str">
        <x:v>CANDIDATE_DECISIVE</x:v>
      </x:c>
      <x:c r="F54" s="60" t="str">
        <x:v>مرشح عالي القيمة بسبب تنوع المجال أو الصيغة أو المشاركين أو المقابلة؛ يلزم إثبات سبب الحسم في Blind Analysis</x:v>
      </x:c>
      <x:c r="G54" s="60" t="str">
        <x:v>تُحدد الفرضيات التي يختبرها بعد بناء الملفات المحلية المستقلة</x:v>
      </x:c>
      <x:c r="H54" s="60" t="str">
        <x:v>HIGH — candidate</x:v>
      </x:c>
      <x:c r="I54" s="60" t="str">
        <x:v>https://corpus.quran.com/wordbyword.jsp?chapter=65&amp;verse=3</x:v>
      </x:c>
    </x:row>
    <x:row r="55">
      <x:c r="A55" s="60" t="str">
        <x:v>ق د ر</x:v>
      </x:c>
      <x:c r="B55" s="60" t="str">
        <x:v>P1 — أصول تأسيسية عالية الأثر</x:v>
      </x:c>
      <x:c r="C55" s="60" t="str">
        <x:v>87:3</x:v>
      </x:c>
      <x:c r="D55" s="60" t="str">
        <x:v>وَٱلَّذِى قَدَّرَ فَهَدَىٰ</x:v>
      </x:c>
      <x:c r="E55" s="60" t="str">
        <x:v>CANDIDATE_DECISIVE</x:v>
      </x:c>
      <x:c r="F55" s="60" t="str">
        <x:v>مرشح عالي القيمة بسبب تنوع المجال أو الصيغة أو المشاركين أو المقابلة؛ يلزم إثبات سبب الحسم في Blind Analysis</x:v>
      </x:c>
      <x:c r="G55" s="60" t="str">
        <x:v>تُحدد الفرضيات التي يختبرها بعد بناء الملفات المحلية المستقلة</x:v>
      </x:c>
      <x:c r="H55" s="60" t="str">
        <x:v>HIGH — candidate</x:v>
      </x:c>
      <x:c r="I55" s="60" t="str">
        <x:v>https://corpus.quran.com/wordbyword.jsp?chapter=87&amp;verse=3</x:v>
      </x:c>
    </x:row>
    <x:row r="56">
      <x:c r="A56" s="60" t="str">
        <x:v>ق د ر</x:v>
      </x:c>
      <x:c r="B56" s="60" t="str">
        <x:v>P1 — أصول تأسيسية عالية الأثر</x:v>
      </x:c>
      <x:c r="C56" s="60" t="str">
        <x:v>89:16</x:v>
      </x:c>
      <x:c r="D56" s="60" t="str">
        <x:v>وَأَمَّآ إِذَا مَا ٱبْتَلَىٰهُ فَقَدَرَ عَلَيْهِ رِزْقَهُۥ فَيَقُولُ رَبِّىٓ أَهَٰنَنِ</x:v>
      </x:c>
      <x:c r="E56" s="60" t="str">
        <x:v>CANDIDATE_DECISIVE</x:v>
      </x:c>
      <x:c r="F56" s="60" t="str">
        <x:v>مرشح عالي القيمة بسبب تنوع المجال أو الصيغة أو المشاركين أو المقابلة؛ يلزم إثبات سبب الحسم في Blind Analysis</x:v>
      </x:c>
      <x:c r="G56" s="60" t="str">
        <x:v>تُحدد الفرضيات التي يختبرها بعد بناء الملفات المحلية المستقلة</x:v>
      </x:c>
      <x:c r="H56" s="60" t="str">
        <x:v>HIGH — candidate</x:v>
      </x:c>
      <x:c r="I56" s="60" t="str">
        <x:v>https://corpus.quran.com/wordbyword.jsp?chapter=89&amp;verse=16</x:v>
      </x:c>
    </x:row>
    <x:row r="57">
      <x:c r="A57" s="60" t="str">
        <x:v>ش ي أ (شاء/شيء)</x:v>
      </x:c>
      <x:c r="B57" s="60" t="str">
        <x:v>P1 — أصول تأسيسية عالية الأثر</x:v>
      </x:c>
      <x:c r="C57" s="60" t="str">
        <x:v>18:39</x:v>
      </x:c>
      <x:c r="D57" s="60" t="str">
        <x:v>وَلَوْلَآ إِذْ دَخَلْتَ جَنَّتَكَ قُلْتَ مَا شَآءَ ٱللَّهُ لَا قُوَّةَ إِلَّا بِٱللَّهِ إِن تَرَنِ أَنَا۠ أَقَلَّ مِنكَ مَالًا وَوَلَدًا</x:v>
      </x:c>
      <x:c r="E57" s="60" t="str">
        <x:v>CANDIDATE_DECISIVE</x:v>
      </x:c>
      <x:c r="F57" s="60" t="str">
        <x:v>مرشح عالي القيمة بسبب تنوع المجال أو الصيغة أو المشاركين أو المقابلة؛ يلزم إثبات سبب الحسم في Blind Analysis</x:v>
      </x:c>
      <x:c r="G57" s="60" t="str">
        <x:v>تُحدد الفرضيات التي يختبرها بعد بناء الملفات المحلية المستقلة</x:v>
      </x:c>
      <x:c r="H57" s="60" t="str">
        <x:v>HIGH — candidate</x:v>
      </x:c>
      <x:c r="I57" s="60" t="str">
        <x:v>https://corpus.quran.com/wordbyword.jsp?chapter=18&amp;verse=39</x:v>
      </x:c>
    </x:row>
    <x:row r="58">
      <x:c r="A58" s="60" t="str">
        <x:v>ش ي أ (شاء/شيء)</x:v>
      </x:c>
      <x:c r="B58" s="60" t="str">
        <x:v>P1 — أصول تأسيسية عالية الأثر</x:v>
      </x:c>
      <x:c r="C58" s="60" t="str">
        <x:v>76:30</x:v>
      </x:c>
      <x:c r="D58" s="60" t="str">
        <x:v>وَمَا تَشَآءُونَ إِلَّآ أَن يَشَآءَ ٱللَّهُ إِنَّ ٱللَّهَ كَانَ عَلِيمًا حَكِيمًا</x:v>
      </x:c>
      <x:c r="E58" s="60" t="str">
        <x:v>CANDIDATE_DECISIVE</x:v>
      </x:c>
      <x:c r="F58" s="60" t="str">
        <x:v>مرشح عالي القيمة بسبب تنوع المجال أو الصيغة أو المشاركين أو المقابلة؛ يلزم إثبات سبب الحسم في Blind Analysis</x:v>
      </x:c>
      <x:c r="G58" s="60" t="str">
        <x:v>تُحدد الفرضيات التي يختبرها بعد بناء الملفات المحلية المستقلة</x:v>
      </x:c>
      <x:c r="H58" s="60" t="str">
        <x:v>HIGH — candidate</x:v>
      </x:c>
      <x:c r="I58" s="60" t="str">
        <x:v>https://corpus.quran.com/wordbyword.jsp?chapter=76&amp;verse=30</x:v>
      </x:c>
    </x:row>
    <x:row r="59">
      <x:c r="A59" s="60" t="str">
        <x:v>ش ي أ (شاء/شيء)</x:v>
      </x:c>
      <x:c r="B59" s="60" t="str">
        <x:v>P1 — أصول تأسيسية عالية الأثر</x:v>
      </x:c>
      <x:c r="C59" s="60" t="str">
        <x:v>36:82</x:v>
      </x:c>
      <x:c r="D59" s="60" t="str">
        <x:v>إِنَّمَآ أَمْرُهُۥٓ إِذَآ أَرَادَ شَيْـًٔا أَن يَقُولَ لَهُۥ كُن فَيَكُونُ</x:v>
      </x:c>
      <x:c r="E59" s="60" t="str">
        <x:v>CANDIDATE_DECISIVE</x:v>
      </x:c>
      <x:c r="F59" s="60" t="str">
        <x:v>مرشح عالي القيمة بسبب تنوع المجال أو الصيغة أو المشاركين أو المقابلة؛ يلزم إثبات سبب الحسم في Blind Analysis</x:v>
      </x:c>
      <x:c r="G59" s="60" t="str">
        <x:v>تُحدد الفرضيات التي يختبرها بعد بناء الملفات المحلية المستقلة</x:v>
      </x:c>
      <x:c r="H59" s="60" t="str">
        <x:v>HIGH — candidate</x:v>
      </x:c>
      <x:c r="I59" s="60" t="str">
        <x:v>https://corpus.quran.com/wordbyword.jsp?chapter=36&amp;verse=82</x:v>
      </x:c>
    </x:row>
    <x:row r="60">
      <x:c r="A60" s="60" t="str">
        <x:v>ش ي أ (شاء/شيء)</x:v>
      </x:c>
      <x:c r="B60" s="60" t="str">
        <x:v>P1 — أصول تأسيسية عالية الأثر</x:v>
      </x:c>
      <x:c r="C60" s="60" t="str">
        <x:v>6:35</x:v>
      </x:c>
      <x:c r="D60" s="60" t="str">
        <x:v>وَإِن كَانَ كَبُرَ عَلَيْكَ إِعْرَاضُهُمْ فَإِنِ ٱسْتَطَعْتَ أَن تَبْتَغِىَ نَفَقًا فِى ٱلْأَرْضِ أَوْ سُلَّمًا فِى ٱلسَّمَآءِ فَتَأْتِيَهُم بِـَٔايَةٍ وَلَوْ شَآءَ ٱللَّهُ لَجَمَعَهُمْ عَلَى ٱلْهُدَىٰ فَلَا تَكُونَنَّ مِنَ ٱلْجَٰهِلِينَ</x:v>
      </x:c>
      <x:c r="E60" s="60" t="str">
        <x:v>CANDIDATE_DECISIVE</x:v>
      </x:c>
      <x:c r="F60" s="60" t="str">
        <x:v>مرشح عالي القيمة بسبب تنوع المجال أو الصيغة أو المشاركين أو المقابلة؛ يلزم إثبات سبب الحسم في Blind Analysis</x:v>
      </x:c>
      <x:c r="G60" s="60" t="str">
        <x:v>تُحدد الفرضيات التي يختبرها بعد بناء الملفات المحلية المستقلة</x:v>
      </x:c>
      <x:c r="H60" s="60" t="str">
        <x:v>HIGH — candidate</x:v>
      </x:c>
      <x:c r="I60" s="60" t="str">
        <x:v>https://corpus.quran.com/wordbyword.jsp?chapter=6&amp;verse=35</x:v>
      </x:c>
    </x:row>
    <x:row r="61">
      <x:c r="A61" s="60" t="str">
        <x:v>ح ق ق</x:v>
      </x:c>
      <x:c r="B61" s="60" t="str">
        <x:v>P1 — أصول تأسيسية عالية الأثر</x:v>
      </x:c>
      <x:c r="C61" s="60" t="str">
        <x:v>10:32</x:v>
      </x:c>
      <x:c r="D61" s="60" t="str">
        <x:v>فَذَٰلِكُمُ ٱللَّهُ رَبُّكُمُ ٱلْحَقُّ فَمَاذَا بَعْدَ ٱلْحَقِّ إِلَّا ٱلضَّلَٰلُ فَأَنَّىٰ تُصْرَفُونَ</x:v>
      </x:c>
      <x:c r="E61" s="60" t="str">
        <x:v>CANDIDATE_DECISIVE</x:v>
      </x:c>
      <x:c r="F61" s="60" t="str">
        <x:v>مرشح عالي القيمة بسبب تنوع المجال أو الصيغة أو المشاركين أو المقابلة؛ يلزم إثبات سبب الحسم في Blind Analysis</x:v>
      </x:c>
      <x:c r="G61" s="60" t="str">
        <x:v>تُحدد الفرضيات التي يختبرها بعد بناء الملفات المحلية المستقلة</x:v>
      </x:c>
      <x:c r="H61" s="60" t="str">
        <x:v>HIGH — candidate</x:v>
      </x:c>
      <x:c r="I61" s="60" t="str">
        <x:v>https://corpus.quran.com/wordbyword.jsp?chapter=10&amp;verse=32</x:v>
      </x:c>
    </x:row>
    <x:row r="62">
      <x:c r="A62" s="60" t="str">
        <x:v>ح ق ق</x:v>
      </x:c>
      <x:c r="B62" s="60" t="str">
        <x:v>P1 — أصول تأسيسية عالية الأثر</x:v>
      </x:c>
      <x:c r="C62" s="60" t="str">
        <x:v>8:8</x:v>
      </x:c>
      <x:c r="D62" s="60" t="str">
        <x:v>لِيُحِقَّ ٱلْحَقَّ وَيُبْطِلَ ٱلْبَٰطِلَ وَلَوْ كَرِهَ ٱلْمُجْرِمُونَ</x:v>
      </x:c>
      <x:c r="E62" s="60" t="str">
        <x:v>CANDIDATE_DECISIVE</x:v>
      </x:c>
      <x:c r="F62" s="60" t="str">
        <x:v>مرشح عالي القيمة بسبب تنوع المجال أو الصيغة أو المشاركين أو المقابلة؛ يلزم إثبات سبب الحسم في Blind Analysis</x:v>
      </x:c>
      <x:c r="G62" s="60" t="str">
        <x:v>تُحدد الفرضيات التي يختبرها بعد بناء الملفات المحلية المستقلة</x:v>
      </x:c>
      <x:c r="H62" s="60" t="str">
        <x:v>HIGH — candidate</x:v>
      </x:c>
      <x:c r="I62" s="60" t="str">
        <x:v>https://corpus.quran.com/wordbyword.jsp?chapter=8&amp;verse=8</x:v>
      </x:c>
    </x:row>
    <x:row r="63">
      <x:c r="A63" s="60" t="str">
        <x:v>ح ق ق</x:v>
      </x:c>
      <x:c r="B63" s="60" t="str">
        <x:v>P1 — أصول تأسيسية عالية الأثر</x:v>
      </x:c>
      <x:c r="C63" s="60" t="str">
        <x:v>69:1</x:v>
      </x:c>
      <x:c r="D63" s="60" t="str">
        <x:v>ٱلْحَآقَّةُ</x:v>
      </x:c>
      <x:c r="E63" s="60" t="str">
        <x:v>CANDIDATE_DECISIVE</x:v>
      </x:c>
      <x:c r="F63" s="60" t="str">
        <x:v>مرشح عالي القيمة بسبب تنوع المجال أو الصيغة أو المشاركين أو المقابلة؛ يلزم إثبات سبب الحسم في Blind Analysis</x:v>
      </x:c>
      <x:c r="G63" s="60" t="str">
        <x:v>تُحدد الفرضيات التي يختبرها بعد بناء الملفات المحلية المستقلة</x:v>
      </x:c>
      <x:c r="H63" s="60" t="str">
        <x:v>HIGH — candidate</x:v>
      </x:c>
      <x:c r="I63" s="60" t="str">
        <x:v>https://corpus.quran.com/wordbyword.jsp?chapter=69&amp;verse=1</x:v>
      </x:c>
    </x:row>
    <x:row r="64">
      <x:c r="A64" s="60" t="str">
        <x:v>ح ق ق</x:v>
      </x:c>
      <x:c r="B64" s="60" t="str">
        <x:v>P1 — أصول تأسيسية عالية الأثر</x:v>
      </x:c>
      <x:c r="C64" s="60" t="str">
        <x:v>22:6</x:v>
      </x:c>
      <x:c r="D64" s="60" t="str">
        <x:v>ذَٰلِكَ بِأَنَّ ٱللَّهَ هُوَ ٱلْحَقُّ وَأَنَّهُۥ يُحْىِ ٱلْمَوْتَىٰ وَأَنَّهُۥ عَلَىٰ كُلِّ شَىْءٍ قَدِيرٌ</x:v>
      </x:c>
      <x:c r="E64" s="60" t="str">
        <x:v>CANDIDATE_DECISIVE</x:v>
      </x:c>
      <x:c r="F64" s="60" t="str">
        <x:v>مرشح عالي القيمة بسبب تنوع المجال أو الصيغة أو المشاركين أو المقابلة؛ يلزم إثبات سبب الحسم في Blind Analysis</x:v>
      </x:c>
      <x:c r="G64" s="60" t="str">
        <x:v>تُحدد الفرضيات التي يختبرها بعد بناء الملفات المحلية المستقلة</x:v>
      </x:c>
      <x:c r="H64" s="60" t="str">
        <x:v>HIGH — candidate</x:v>
      </x:c>
      <x:c r="I64" s="60" t="str">
        <x:v>https://corpus.quran.com/wordbyword.jsp?chapter=22&amp;verse=6</x:v>
      </x:c>
    </x:row>
    <x:row r="65">
      <x:c r="A65" s="60" t="str">
        <x:v>أ م ر</x:v>
      </x:c>
      <x:c r="B65" s="60" t="str">
        <x:v>P1 — أصول تأسيسية عالية الأثر</x:v>
      </x:c>
      <x:c r="C65" s="60" t="str">
        <x:v>36:82</x:v>
      </x:c>
      <x:c r="D65" s="60" t="str">
        <x:v>إِنَّمَآ أَمْرُهُۥٓ إِذَآ أَرَادَ شَيْـًٔا أَن يَقُولَ لَهُۥ كُن فَيَكُونُ</x:v>
      </x:c>
      <x:c r="E65" s="60" t="str">
        <x:v>CANDIDATE_DECISIVE</x:v>
      </x:c>
      <x:c r="F65" s="60" t="str">
        <x:v>مرشح عالي القيمة بسبب تنوع المجال أو الصيغة أو المشاركين أو المقابلة؛ يلزم إثبات سبب الحسم في Blind Analysis</x:v>
      </x:c>
      <x:c r="G65" s="60" t="str">
        <x:v>تُحدد الفرضيات التي يختبرها بعد بناء الملفات المحلية المستقلة</x:v>
      </x:c>
      <x:c r="H65" s="60" t="str">
        <x:v>HIGH — candidate</x:v>
      </x:c>
      <x:c r="I65" s="60" t="str">
        <x:v>https://corpus.quran.com/wordbyword.jsp?chapter=36&amp;verse=82</x:v>
      </x:c>
    </x:row>
    <x:row r="66">
      <x:c r="A66" s="60" t="str">
        <x:v>أ م ر</x:v>
      </x:c>
      <x:c r="B66" s="60" t="str">
        <x:v>P1 — أصول تأسيسية عالية الأثر</x:v>
      </x:c>
      <x:c r="C66" s="60" t="str">
        <x:v>7:54</x:v>
      </x:c>
      <x:c r="D66" s="60" t="str">
        <x:v>إِنَّ رَبَّكُمُ ٱللَّهُ ٱلَّذِى خَلَقَ ٱلسَّمَٰوَٰتِ وَٱلْأَرْضَ فِى سِتَّةِ أَيَّامٍ ثُمَّ ٱسْتَوَىٰ عَلَى ٱلْعَرْشِ يُغْشِى ٱلَّيْلَ ٱلنَّهَارَ يَطْلُبُهُۥ حَثِيثًا وَٱلشَّمْسَ وَٱلْقَمَرَ وَٱلنُّجُومَ مُسَخَّرَٰتٍۭ بِأَمْرِهِۦٓ أَلَا لَهُ ٱلْخَلْقُ وَٱلْأَمْرُ تَبَارَكَ ٱللَّهُ رَبُّ ٱلْعَٰلَمِينَ</x:v>
      </x:c>
      <x:c r="E66" s="60" t="str">
        <x:v>CANDIDATE_DECISIVE</x:v>
      </x:c>
      <x:c r="F66" s="60" t="str">
        <x:v>مرشح عالي القيمة بسبب تنوع المجال أو الصيغة أو المشاركين أو المقابلة؛ يلزم إثبات سبب الحسم في Blind Analysis</x:v>
      </x:c>
      <x:c r="G66" s="60" t="str">
        <x:v>تُحدد الفرضيات التي يختبرها بعد بناء الملفات المحلية المستقلة</x:v>
      </x:c>
      <x:c r="H66" s="60" t="str">
        <x:v>HIGH — candidate</x:v>
      </x:c>
      <x:c r="I66" s="60" t="str">
        <x:v>https://corpus.quran.com/wordbyword.jsp?chapter=7&amp;verse=54</x:v>
      </x:c>
    </x:row>
    <x:row r="67">
      <x:c r="A67" s="60" t="str">
        <x:v>أ م ر</x:v>
      </x:c>
      <x:c r="B67" s="60" t="str">
        <x:v>P1 — أصول تأسيسية عالية الأثر</x:v>
      </x:c>
      <x:c r="C67" s="60" t="str">
        <x:v>18:82</x:v>
      </x:c>
      <x:c r="D67" s="60" t="str">
        <x:v>وَأَمَّا ٱلْجِدَارُ فَكَانَ لِغُلَٰمَيْنِ يَتِيمَيْنِ فِى ٱلْمَدِينَةِ وَكَانَ تَحْتَهُۥ كَنزٌ لَّهُمَا وَكَانَ أَبُوهُمَا صَٰلِحًا فَأَرَادَ رَبُّكَ أَن يَبْلُغَآ أَشُدَّهُمَا وَيَسْتَخْرِجَا كَنزَهُمَا رَحْمَةً مِّن رَّبِّكَ وَمَا فَعَلْتُهُۥ عَنْ أَمْرِى ذَٰلِكَ تَأْوِيلُ مَا لَمْ تَسْطِع عَّلَيْهِ صَبْرًا</x:v>
      </x:c>
      <x:c r="E67" s="60" t="str">
        <x:v>CANDIDATE_DECISIVE</x:v>
      </x:c>
      <x:c r="F67" s="60" t="str">
        <x:v>مرشح عالي القيمة بسبب تنوع المجال أو الصيغة أو المشاركين أو المقابلة؛ يلزم إثبات سبب الحسم في Blind Analysis</x:v>
      </x:c>
      <x:c r="G67" s="60" t="str">
        <x:v>تُحدد الفرضيات التي يختبرها بعد بناء الملفات المحلية المستقلة</x:v>
      </x:c>
      <x:c r="H67" s="60" t="str">
        <x:v>HIGH — candidate</x:v>
      </x:c>
      <x:c r="I67" s="60" t="str">
        <x:v>https://corpus.quran.com/wordbyword.jsp?chapter=18&amp;verse=82</x:v>
      </x:c>
    </x:row>
    <x:row r="68">
      <x:c r="A68" s="60" t="str">
        <x:v>أ م ر</x:v>
      </x:c>
      <x:c r="B68" s="60" t="str">
        <x:v>P1 — أصول تأسيسية عالية الأثر</x:v>
      </x:c>
      <x:c r="C68" s="60" t="str">
        <x:v>65:12</x:v>
      </x:c>
      <x:c r="D68" s="60" t="str">
        <x:v>ٱللَّهُ ٱلَّذِى خَلَقَ سَبْعَ سَمَٰوَٰتٍ وَمِنَ ٱلْأَرْضِ مِثْلَهُنَّ يَتَنَزَّلُ ٱلْأَمْرُ بَيْنَهُنَّ لِتَعْلَمُوٓا۟ أَنَّ ٱللَّهَ عَلَىٰ كُلِّ شَىْءٍ قَدِيرٌ وَأَنَّ ٱللَّهَ قَدْ أَحَاطَ بِكُلِّ شَىْءٍ عِلْمًۢا</x:v>
      </x:c>
      <x:c r="E68" s="60" t="str">
        <x:v>CANDIDATE_DECISIVE</x:v>
      </x:c>
      <x:c r="F68" s="60" t="str">
        <x:v>مرشح عالي القيمة بسبب تنوع المجال أو الصيغة أو المشاركين أو المقابلة؛ يلزم إثبات سبب الحسم في Blind Analysis</x:v>
      </x:c>
      <x:c r="G68" s="60" t="str">
        <x:v>تُحدد الفرضيات التي يختبرها بعد بناء الملفات المحلية المستقلة</x:v>
      </x:c>
      <x:c r="H68" s="60" t="str">
        <x:v>HIGH — candidate</x:v>
      </x:c>
      <x:c r="I68" s="60" t="str">
        <x:v>https://corpus.quran.com/wordbyword.jsp?chapter=65&amp;verse=12</x:v>
      </x:c>
    </x:row>
    <x:row r="69">
      <x:c r="A69" s="60" t="str">
        <x:v>ك و ن</x:v>
      </x:c>
      <x:c r="B69" s="60" t="str">
        <x:v>P1 — أصول تأسيسية عالية الأثر</x:v>
      </x:c>
      <x:c r="C69" s="60" t="str">
        <x:v>2:117</x:v>
      </x:c>
      <x:c r="D69" s="60" t="str">
        <x:v>بَدِيعُ ٱلسَّمَٰوَٰتِ وَٱلْأَرْضِ وَإِذَا قَضَىٰٓ أَمْرًا فَإِنَّمَا يَقُولُ لَهُۥ كُن فَيَكُونُ</x:v>
      </x:c>
      <x:c r="E69" s="60" t="str">
        <x:v>CANDIDATE_DECISIVE</x:v>
      </x:c>
      <x:c r="F69" s="60" t="str">
        <x:v>مرشح عالي القيمة بسبب تنوع المجال أو الصيغة أو المشاركين أو المقابلة؛ يلزم إثبات سبب الحسم في Blind Analysis</x:v>
      </x:c>
      <x:c r="G69" s="60" t="str">
        <x:v>تُحدد الفرضيات التي يختبرها بعد بناء الملفات المحلية المستقلة</x:v>
      </x:c>
      <x:c r="H69" s="60" t="str">
        <x:v>HIGH — candidate</x:v>
      </x:c>
      <x:c r="I69" s="60" t="str">
        <x:v>https://corpus.quran.com/wordbyword.jsp?chapter=2&amp;verse=117</x:v>
      </x:c>
    </x:row>
    <x:row r="70">
      <x:c r="A70" s="60" t="str">
        <x:v>ك و ن</x:v>
      </x:c>
      <x:c r="B70" s="60" t="str">
        <x:v>P1 — أصول تأسيسية عالية الأثر</x:v>
      </x:c>
      <x:c r="C70" s="60" t="str">
        <x:v>16:40</x:v>
      </x:c>
      <x:c r="D70" s="60" t="str">
        <x:v>إِنَّمَا قَوْلُنَا لِشَىْءٍ إِذَآ أَرَدْنَٰهُ أَن نَّقُولَ لَهُۥ كُن فَيَكُونُ</x:v>
      </x:c>
      <x:c r="E70" s="60" t="str">
        <x:v>CANDIDATE_DECISIVE</x:v>
      </x:c>
      <x:c r="F70" s="60" t="str">
        <x:v>مرشح عالي القيمة بسبب تنوع المجال أو الصيغة أو المشاركين أو المقابلة؛ يلزم إثبات سبب الحسم في Blind Analysis</x:v>
      </x:c>
      <x:c r="G70" s="60" t="str">
        <x:v>تُحدد الفرضيات التي يختبرها بعد بناء الملفات المحلية المستقلة</x:v>
      </x:c>
      <x:c r="H70" s="60" t="str">
        <x:v>HIGH — candidate</x:v>
      </x:c>
      <x:c r="I70" s="60" t="str">
        <x:v>https://corpus.quran.com/wordbyword.jsp?chapter=16&amp;verse=40</x:v>
      </x:c>
    </x:row>
    <x:row r="71">
      <x:c r="A71" s="60" t="str">
        <x:v>ك و ن</x:v>
      </x:c>
      <x:c r="B71" s="60" t="str">
        <x:v>P1 — أصول تأسيسية عالية الأثر</x:v>
      </x:c>
      <x:c r="C71" s="60" t="str">
        <x:v>3:79</x:v>
      </x:c>
      <x:c r="D71" s="60" t="str">
        <x:v>مَا كَانَ لِبَشَرٍ أَن يُؤْتِيَهُ ٱللَّهُ ٱلْكِتَٰبَ وَٱلْحُكْمَ وَٱلنُّبُوَّةَ ثُمَّ يَقُولَ لِلنَّاسِ كُونُوا۟ عِبَادًا لِّى مِن دُونِ ٱللَّهِ وَلَٰكِن كُونُوا۟ رَبَّٰنِيِّۦنَ بِمَا كُنتُمْ تُعَلِّمُونَ ٱلْكِتَٰبَ وَبِمَا كُنتُمْ تَدْرُسُونَ</x:v>
      </x:c>
      <x:c r="E71" s="60" t="str">
        <x:v>CANDIDATE_DECISIVE</x:v>
      </x:c>
      <x:c r="F71" s="60" t="str">
        <x:v>مرشح عالي القيمة بسبب تنوع المجال أو الصيغة أو المشاركين أو المقابلة؛ يلزم إثبات سبب الحسم في Blind Analysis</x:v>
      </x:c>
      <x:c r="G71" s="60" t="str">
        <x:v>تُحدد الفرضيات التي يختبرها بعد بناء الملفات المحلية المستقلة</x:v>
      </x:c>
      <x:c r="H71" s="60" t="str">
        <x:v>HIGH — candidate</x:v>
      </x:c>
      <x:c r="I71" s="60" t="str">
        <x:v>https://corpus.quran.com/wordbyword.jsp?chapter=3&amp;verse=79</x:v>
      </x:c>
    </x:row>
    <x:row r="72">
      <x:c r="A72" s="60" t="str">
        <x:v>ك و ن</x:v>
      </x:c>
      <x:c r="B72" s="60" t="str">
        <x:v>P1 — أصول تأسيسية عالية الأثر</x:v>
      </x:c>
      <x:c r="C72" s="60" t="str">
        <x:v>19:35</x:v>
      </x:c>
      <x:c r="D72" s="60" t="str">
        <x:v>مَا كَانَ لِلَّهِ أَن يَتَّخِذَ مِن وَلَدٍ سُبْحَٰنَهُۥٓ إِذَا قَضَىٰٓ أَمْرًا فَإِنَّمَا يَقُولُ لَهُۥ كُن فَيَكُونُ</x:v>
      </x:c>
      <x:c r="E72" s="60" t="str">
        <x:v>CANDIDATE_DECISIVE</x:v>
      </x:c>
      <x:c r="F72" s="60" t="str">
        <x:v>مرشح عالي القيمة بسبب تنوع المجال أو الصيغة أو المشاركين أو المقابلة؛ يلزم إثبات سبب الحسم في Blind Analysis</x:v>
      </x:c>
      <x:c r="G72" s="60" t="str">
        <x:v>تُحدد الفرضيات التي يختبرها بعد بناء الملفات المحلية المستقلة</x:v>
      </x:c>
      <x:c r="H72" s="60" t="str">
        <x:v>HIGH — candidate</x:v>
      </x:c>
      <x:c r="I72" s="60" t="str">
        <x:v>https://corpus.quran.com/wordbyword.jsp?chapter=19&amp;verse=35</x:v>
      </x:c>
    </x:row>
    <x:row r="73">
      <x:c r="A73" s="60" t="str">
        <x:v>ض ل ل</x:v>
      </x:c>
      <x:c r="B73" s="60" t="str">
        <x:v>P1 — أصول تأسيسية عالية الأثر</x:v>
      </x:c>
      <x:c r="C73" s="60" t="str">
        <x:v>20:52</x:v>
      </x:c>
      <x:c r="D73" s="60" t="str">
        <x:v>قَالَ عِلْمُهَا عِندَ رَبِّى فِى كِتَٰبٍ لَّا يَضِلُّ رَبِّى وَلَا يَنسَى</x:v>
      </x:c>
      <x:c r="E73" s="60" t="str">
        <x:v>CANDIDATE_DECISIVE</x:v>
      </x:c>
      <x:c r="F73" s="60" t="str">
        <x:v>مرشح عالي القيمة بسبب تنوع المجال أو الصيغة أو المشاركين أو المقابلة؛ يلزم إثبات سبب الحسم في Blind Analysis</x:v>
      </x:c>
      <x:c r="G73" s="60" t="str">
        <x:v>تُحدد الفرضيات التي يختبرها بعد بناء الملفات المحلية المستقلة</x:v>
      </x:c>
      <x:c r="H73" s="60" t="str">
        <x:v>HIGH — candidate</x:v>
      </x:c>
      <x:c r="I73" s="60" t="str">
        <x:v>https://corpus.quran.com/wordbyword.jsp?chapter=20&amp;verse=52</x:v>
      </x:c>
    </x:row>
    <x:row r="74">
      <x:c r="A74" s="60" t="str">
        <x:v>ض ل ل</x:v>
      </x:c>
      <x:c r="B74" s="60" t="str">
        <x:v>P1 — أصول تأسيسية عالية الأثر</x:v>
      </x:c>
      <x:c r="C74" s="60" t="str">
        <x:v>53:2</x:v>
      </x:c>
      <x:c r="D74" s="60" t="str">
        <x:v>مَا ضَلَّ صَاحِبُكُمْ وَمَا غَوَىٰ</x:v>
      </x:c>
      <x:c r="E74" s="60" t="str">
        <x:v>CANDIDATE_DECISIVE</x:v>
      </x:c>
      <x:c r="F74" s="60" t="str">
        <x:v>مرشح عالي القيمة بسبب تنوع المجال أو الصيغة أو المشاركين أو المقابلة؛ يلزم إثبات سبب الحسم في Blind Analysis</x:v>
      </x:c>
      <x:c r="G74" s="60" t="str">
        <x:v>تُحدد الفرضيات التي يختبرها بعد بناء الملفات المحلية المستقلة</x:v>
      </x:c>
      <x:c r="H74" s="60" t="str">
        <x:v>HIGH — candidate</x:v>
      </x:c>
      <x:c r="I74" s="60" t="str">
        <x:v>https://corpus.quran.com/wordbyword.jsp?chapter=53&amp;verse=2</x:v>
      </x:c>
    </x:row>
    <x:row r="75">
      <x:c r="A75" s="60" t="str">
        <x:v>ض ل ل</x:v>
      </x:c>
      <x:c r="B75" s="60" t="str">
        <x:v>P1 — أصول تأسيسية عالية الأثر</x:v>
      </x:c>
      <x:c r="C75" s="60" t="str">
        <x:v>14:4</x:v>
      </x:c>
      <x:c r="D75" s="60" t="str">
        <x:v>وَمَآ أَرْسَلْنَا مِن رَّسُولٍ إِلَّا بِلِسَانِ قَوْمِهِۦ لِيُبَيِّنَ لَهُمْ فَيُضِلُّ ٱللَّهُ مَن يَشَآءُ وَيَهْدِى مَن يَشَآءُ وَهُوَ ٱلْعَزِيزُ ٱلْحَكِيمُ</x:v>
      </x:c>
      <x:c r="E75" s="60" t="str">
        <x:v>CANDIDATE_DECISIVE</x:v>
      </x:c>
      <x:c r="F75" s="60" t="str">
        <x:v>مرشح عالي القيمة بسبب تنوع المجال أو الصيغة أو المشاركين أو المقابلة؛ يلزم إثبات سبب الحسم في Blind Analysis</x:v>
      </x:c>
      <x:c r="G75" s="60" t="str">
        <x:v>تُحدد الفرضيات التي يختبرها بعد بناء الملفات المحلية المستقلة</x:v>
      </x:c>
      <x:c r="H75" s="60" t="str">
        <x:v>HIGH — candidate</x:v>
      </x:c>
      <x:c r="I75" s="60" t="str">
        <x:v>https://corpus.quran.com/wordbyword.jsp?chapter=14&amp;verse=4</x:v>
      </x:c>
    </x:row>
    <x:row r="76">
      <x:c r="A76" s="60" t="str">
        <x:v>ض ل ل</x:v>
      </x:c>
      <x:c r="B76" s="60" t="str">
        <x:v>P1 — أصول تأسيسية عالية الأثر</x:v>
      </x:c>
      <x:c r="C76" s="60" t="str">
        <x:v>26:86</x:v>
      </x:c>
      <x:c r="D76" s="60" t="str">
        <x:v>وَٱغْفِرْ لِأَبِىٓ إِنَّهُۥ كَانَ مِنَ ٱلضَّآلِّينَ</x:v>
      </x:c>
      <x:c r="E76" s="60" t="str">
        <x:v>CANDIDATE_DECISIVE</x:v>
      </x:c>
      <x:c r="F76" s="60" t="str">
        <x:v>مرشح عالي القيمة بسبب تنوع المجال أو الصيغة أو المشاركين أو المقابلة؛ يلزم إثبات سبب الحسم في Blind Analysis</x:v>
      </x:c>
      <x:c r="G76" s="60" t="str">
        <x:v>تُحدد الفرضيات التي يختبرها بعد بناء الملفات المحلية المستقلة</x:v>
      </x:c>
      <x:c r="H76" s="60" t="str">
        <x:v>HIGH — candidate</x:v>
      </x:c>
      <x:c r="I76" s="60" t="str">
        <x:v>https://corpus.quran.com/wordbyword.jsp?chapter=26&amp;verse=86</x:v>
      </x:c>
    </x:row>
    <x:row r="77">
      <x:c r="A77" s="60" t="str">
        <x:v>ع م ل</x:v>
      </x:c>
      <x:c r="B77" s="60" t="str">
        <x:v>P1 — أصول تأسيسية عالية الأثر</x:v>
      </x:c>
      <x:c r="C77" s="60" t="str">
        <x:v>9:105</x:v>
      </x:c>
      <x:c r="D77" s="60" t="str">
        <x:v>وَقُلِ ٱعْمَلُوا۟ فَسَيَرَى ٱللَّهُ عَمَلَكُمْ وَرَسُولُهُۥ وَٱلْمُؤْمِنُونَ وَسَتُرَدُّونَ إِلَىٰ عَٰلِمِ ٱلْغَيْبِ وَٱلشَّهَٰدَةِ فَيُنَبِّئُكُم بِمَا كُنتُمْ تَعْمَلُونَ</x:v>
      </x:c>
      <x:c r="E77" s="60" t="str">
        <x:v>CANDIDATE_DECISIVE</x:v>
      </x:c>
      <x:c r="F77" s="60" t="str">
        <x:v>مرشح عالي القيمة بسبب تنوع المجال أو الصيغة أو المشاركين أو المقابلة؛ يلزم إثبات سبب الحسم في Blind Analysis</x:v>
      </x:c>
      <x:c r="G77" s="60" t="str">
        <x:v>تُحدد الفرضيات التي يختبرها بعد بناء الملفات المحلية المستقلة</x:v>
      </x:c>
      <x:c r="H77" s="60" t="str">
        <x:v>HIGH — candidate</x:v>
      </x:c>
      <x:c r="I77" s="60" t="str">
        <x:v>https://corpus.quran.com/wordbyword.jsp?chapter=9&amp;verse=105</x:v>
      </x:c>
    </x:row>
    <x:row r="78">
      <x:c r="A78" s="60" t="str">
        <x:v>ع م ل</x:v>
      </x:c>
      <x:c r="B78" s="60" t="str">
        <x:v>P1 — أصول تأسيسية عالية الأثر</x:v>
      </x:c>
      <x:c r="C78" s="60" t="str">
        <x:v>99:7</x:v>
      </x:c>
      <x:c r="D78" s="60" t="str">
        <x:v>فَمَن يَعْمَلْ مِثْقَالَ ذَرَّةٍ خَيْرًا يَرَهُۥ</x:v>
      </x:c>
      <x:c r="E78" s="60" t="str">
        <x:v>CANDIDATE_DECISIVE</x:v>
      </x:c>
      <x:c r="F78" s="60" t="str">
        <x:v>مرشح عالي القيمة بسبب تنوع المجال أو الصيغة أو المشاركين أو المقابلة؛ يلزم إثبات سبب الحسم في Blind Analysis</x:v>
      </x:c>
      <x:c r="G78" s="60" t="str">
        <x:v>تُحدد الفرضيات التي يختبرها بعد بناء الملفات المحلية المستقلة</x:v>
      </x:c>
      <x:c r="H78" s="60" t="str">
        <x:v>HIGH — candidate</x:v>
      </x:c>
      <x:c r="I78" s="60" t="str">
        <x:v>https://corpus.quran.com/wordbyword.jsp?chapter=99&amp;verse=7</x:v>
      </x:c>
    </x:row>
    <x:row r="79">
      <x:c r="A79" s="60" t="str">
        <x:v>ع م ل</x:v>
      </x:c>
      <x:c r="B79" s="60" t="str">
        <x:v>P1 — أصول تأسيسية عالية الأثر</x:v>
      </x:c>
      <x:c r="C79" s="60" t="str">
        <x:v>18:103</x:v>
      </x:c>
      <x:c r="D79" s="60" t="str">
        <x:v>قُلْ هَلْ نُنَبِّئُكُم بِٱلْأَخْسَرِينَ أَعْمَٰلًا</x:v>
      </x:c>
      <x:c r="E79" s="60" t="str">
        <x:v>CANDIDATE_DECISIVE</x:v>
      </x:c>
      <x:c r="F79" s="60" t="str">
        <x:v>مرشح عالي القيمة بسبب تنوع المجال أو الصيغة أو المشاركين أو المقابلة؛ يلزم إثبات سبب الحسم في Blind Analysis</x:v>
      </x:c>
      <x:c r="G79" s="60" t="str">
        <x:v>تُحدد الفرضيات التي يختبرها بعد بناء الملفات المحلية المستقلة</x:v>
      </x:c>
      <x:c r="H79" s="60" t="str">
        <x:v>HIGH — candidate</x:v>
      </x:c>
      <x:c r="I79" s="60" t="str">
        <x:v>https://corpus.quran.com/wordbyword.jsp?chapter=18&amp;verse=103</x:v>
      </x:c>
    </x:row>
    <x:row r="80">
      <x:c r="A80" s="60" t="str">
        <x:v>ع م ل</x:v>
      </x:c>
      <x:c r="B80" s="60" t="str">
        <x:v>P1 — أصول تأسيسية عالية الأثر</x:v>
      </x:c>
      <x:c r="C80" s="60" t="str">
        <x:v>2:25</x:v>
      </x:c>
      <x:c r="D80" s="60" t="str">
        <x:v>وَبَشِّرِ ٱلَّذِينَ ءَامَنُوا۟ وَعَمِلُوا۟ ٱلصَّٰلِحَٰتِ أَنَّ لَهُمْ جَنَّٰتٍ تَجْرِى مِن تَحْتِهَا ٱلْأَنْهَٰرُ كُلَّمَا رُزِقُوا۟ مِنْهَا مِن ثَمَرَةٍ رِّزْقًا قَالُوا۟ هَٰذَا ٱلَّذِى رُزِقْنَا مِن قَبْلُ وَأُتُوا۟ بِهِۦ مُتَشَٰبِهًا وَلَهُمْ فِيهَآ أَزْوَٰجٌ مُّطَهَّرَةٌ وَهُمْ فِيهَا خَٰلِدُونَ</x:v>
      </x:c>
      <x:c r="E80" s="60" t="str">
        <x:v>CANDIDATE_DECISIVE</x:v>
      </x:c>
      <x:c r="F80" s="60" t="str">
        <x:v>مرشح عالي القيمة بسبب تنوع المجال أو الصيغة أو المشاركين أو المقابلة؛ يلزم إثبات سبب الحسم في Blind Analysis</x:v>
      </x:c>
      <x:c r="G80" s="60" t="str">
        <x:v>تُحدد الفرضيات التي يختبرها بعد بناء الملفات المحلية المستقلة</x:v>
      </x:c>
      <x:c r="H80" s="60" t="str">
        <x:v>HIGH — candidate</x:v>
      </x:c>
      <x:c r="I80" s="60" t="str">
        <x:v>https://corpus.quran.com/wordbyword.jsp?chapter=2&amp;verse=25</x:v>
      </x:c>
    </x:row>
    <x:row r="81">
      <x:c r="A81" s="60" t="str">
        <x:v>ر و د (أراد/راود)</x:v>
      </x:c>
      <x:c r="B81" s="60" t="str">
        <x:v>P1 — أصول تأسيسية عالية الأثر</x:v>
      </x:c>
      <x:c r="C81" s="60" t="str">
        <x:v>2:185</x:v>
      </x:c>
      <x:c r="D81" s="60" t="str">
        <x:v>شَهْرُ رَمَضَانَ ٱلَّذِىٓ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x:v>
      </x:c>
      <x:c r="E81" s="60" t="str">
        <x:v>CANDIDATE_DECISIVE</x:v>
      </x:c>
      <x:c r="F81" s="60" t="str">
        <x:v>مرشح عالي القيمة بسبب تنوع المجال أو الصيغة أو المشاركين أو المقابلة؛ يلزم إثبات سبب الحسم في Blind Analysis</x:v>
      </x:c>
      <x:c r="G81" s="60" t="str">
        <x:v>تُحدد الفرضيات التي يختبرها بعد بناء الملفات المحلية المستقلة</x:v>
      </x:c>
      <x:c r="H81" s="60" t="str">
        <x:v>HIGH — candidate</x:v>
      </x:c>
      <x:c r="I81" s="60" t="str">
        <x:v>https://corpus.quran.com/wordbyword.jsp?chapter=2&amp;verse=185</x:v>
      </x:c>
    </x:row>
    <x:row r="82">
      <x:c r="A82" s="60" t="str">
        <x:v>ر و د (أراد/راود)</x:v>
      </x:c>
      <x:c r="B82" s="60" t="str">
        <x:v>P1 — أصول تأسيسية عالية الأثر</x:v>
      </x:c>
      <x:c r="C82" s="60" t="str">
        <x:v>11:34</x:v>
      </x:c>
      <x:c r="D82" s="60" t="str">
        <x:v>وَلَا يَنفَعُكُمْ نُصْحِىٓ إِنْ أَرَدتُّ أَنْ أَنصَحَ لَكُمْ إِن كَانَ ٱللَّهُ يُرِيدُ أَن يُغْوِيَكُمْ هُوَ رَبُّكُمْ وَإِلَيْهِ تُرْجَعُونَ</x:v>
      </x:c>
      <x:c r="E82" s="60" t="str">
        <x:v>CANDIDATE_DECISIVE</x:v>
      </x:c>
      <x:c r="F82" s="60" t="str">
        <x:v>مرشح عالي القيمة بسبب تنوع المجال أو الصيغة أو المشاركين أو المقابلة؛ يلزم إثبات سبب الحسم في Blind Analysis</x:v>
      </x:c>
      <x:c r="G82" s="60" t="str">
        <x:v>تُحدد الفرضيات التي يختبرها بعد بناء الملفات المحلية المستقلة</x:v>
      </x:c>
      <x:c r="H82" s="60" t="str">
        <x:v>HIGH — candidate</x:v>
      </x:c>
      <x:c r="I82" s="60" t="str">
        <x:v>https://corpus.quran.com/wordbyword.jsp?chapter=11&amp;verse=34</x:v>
      </x:c>
    </x:row>
    <x:row r="83">
      <x:c r="A83" s="60" t="str">
        <x:v>ر و د (أراد/راود)</x:v>
      </x:c>
      <x:c r="B83" s="60" t="str">
        <x:v>P1 — أصول تأسيسية عالية الأثر</x:v>
      </x:c>
      <x:c r="C83" s="60" t="str">
        <x:v>18:77</x:v>
      </x:c>
      <x:c r="D83" s="60" t="str">
        <x:v>فَٱنطَلَقَا حَتَّىٰٓ إِذَآ أَتَيَآ أَهْلَ قَرْيَةٍ ٱسْتَطْعَمَآ أَهْلَهَا فَأَبَوْا۟ أَن يُضَيِّفُوهُمَا فَوَجَدَا فِيهَا جِدَارًا يُرِيدُ أَن يَنقَضَّ فَأَقَامَهُۥ قَالَ لَوْ شِئْتَ لَتَّخَذْتَ عَلَيْهِ أَجْرًا</x:v>
      </x:c>
      <x:c r="E83" s="60" t="str">
        <x:v>CANDIDATE_DECISIVE</x:v>
      </x:c>
      <x:c r="F83" s="60" t="str">
        <x:v>مرشح عالي القيمة بسبب تنوع المجال أو الصيغة أو المشاركين أو المقابلة؛ يلزم إثبات سبب الحسم في Blind Analysis</x:v>
      </x:c>
      <x:c r="G83" s="60" t="str">
        <x:v>تُحدد الفرضيات التي يختبرها بعد بناء الملفات المحلية المستقلة</x:v>
      </x:c>
      <x:c r="H83" s="60" t="str">
        <x:v>HIGH — candidate</x:v>
      </x:c>
      <x:c r="I83" s="60" t="str">
        <x:v>https://corpus.quran.com/wordbyword.jsp?chapter=18&amp;verse=77</x:v>
      </x:c>
    </x:row>
    <x:row r="84">
      <x:c r="A84" s="60" t="str">
        <x:v>ر و د (أراد/راود)</x:v>
      </x:c>
      <x:c r="B84" s="60" t="str">
        <x:v>P1 — أصول تأسيسية عالية الأثر</x:v>
      </x:c>
      <x:c r="C84" s="60" t="str">
        <x:v>12:23</x:v>
      </x:c>
      <x:c r="D84" s="60" t="str">
        <x:v>وَرَٰوَدَتْهُ ٱلَّتِى هُوَ فِى بَيْتِهَا عَن نَّفْسِهِۦ وَغَلَّقَتِ ٱلْأَبْوَٰبَ وَقَالَتْ هَيْتَ لَكَ قَالَ مَعَاذَ ٱللَّهِ إِنَّهُۥ رَبِّىٓ أَحْسَنَ مَثْوَاىَ إِنَّهُۥ لَا يُفْلِحُ ٱلظَّٰلِمُونَ</x:v>
      </x:c>
      <x:c r="E84" s="60" t="str">
        <x:v>CANDIDATE_DECISIVE</x:v>
      </x:c>
      <x:c r="F84" s="60" t="str">
        <x:v>مرشح عالي القيمة بسبب تنوع المجال أو الصيغة أو المشاركين أو المقابلة؛ يلزم إثبات سبب الحسم في Blind Analysis</x:v>
      </x:c>
      <x:c r="G84" s="60" t="str">
        <x:v>تُحدد الفرضيات التي يختبرها بعد بناء الملفات المحلية المستقلة</x:v>
      </x:c>
      <x:c r="H84" s="60" t="str">
        <x:v>HIGH — candidate</x:v>
      </x:c>
      <x:c r="I84" s="60" t="str">
        <x:v>https://corpus.quran.com/wordbyword.jsp?chapter=12&amp;verse=23</x:v>
      </x:c>
    </x:row>
    <x:row r="85">
      <x:c r="A85" s="60" t="str">
        <x:v>ر و د (أراد/راود)</x:v>
      </x:c>
      <x:c r="B85" s="60" t="str">
        <x:v>P1 — أصول تأسيسية عالية الأثر</x:v>
      </x:c>
      <x:c r="C85" s="60" t="str">
        <x:v>16:40</x:v>
      </x:c>
      <x:c r="D85" s="60" t="str">
        <x:v>إِنَّمَا قَوْلُنَا لِشَىْءٍ إِذَآ أَرَدْنَٰهُ أَن نَّقُولَ لَهُۥ كُن فَيَكُونُ</x:v>
      </x:c>
      <x:c r="E85" s="60" t="str">
        <x:v>CANDIDATE_DECISIVE</x:v>
      </x:c>
      <x:c r="F85" s="60" t="str">
        <x:v>مرشح عالي القيمة بسبب تنوع المجال أو الصيغة أو المشاركين أو المقابلة؛ يلزم إثبات سبب الحسم في Blind Analysis</x:v>
      </x:c>
      <x:c r="G85" s="60" t="str">
        <x:v>تُحدد الفرضيات التي يختبرها بعد بناء الملفات المحلية المستقلة</x:v>
      </x:c>
      <x:c r="H85" s="60" t="str">
        <x:v>HIGH — candidate</x:v>
      </x:c>
      <x:c r="I85" s="60" t="str">
        <x:v>https://corpus.quran.com/wordbyword.jsp?chapter=16&amp;verse=40</x:v>
      </x:c>
    </x:row>
    <x:row r="86">
      <x:c r="A86" s="60" t="str">
        <x:v>ج ع ل</x:v>
      </x:c>
      <x:c r="B86" s="60" t="str">
        <x:v>P1 — أصول تأسيسية عالية الأثر</x:v>
      </x:c>
      <x:c r="C86" s="60" t="str">
        <x:v>2:30</x:v>
      </x:c>
      <x:c r="D86" s="60" t="str">
        <x:v>وَإِذْ قَالَ رَبُّكَ لِلْمَلَٰٓئِكَةِ إِنِّى جَاعِلٌ فِى ٱلْأَرْضِ خَلِيفَةً قَالُوٓا۟ أَتَجْعَلُ فِيهَا مَن يُفْسِدُ فِيهَا وَيَسْفِكُ ٱلدِّمَآءَ وَنَحْنُ نُسَبِّحُ بِحَمْدِكَ وَنُقَدِّسُ لَكَ قَالَ إِنِّىٓ أَعْلَمُ مَا لَا تَعْلَمُونَ</x:v>
      </x:c>
      <x:c r="E86" s="60" t="str">
        <x:v>CANDIDATE_DECISIVE</x:v>
      </x:c>
      <x:c r="F86" s="60" t="str">
        <x:v>مرشح عالي القيمة بسبب تنوع المجال أو الصيغة أو المشاركين أو المقابلة؛ يلزم إثبات سبب الحسم في Blind Analysis</x:v>
      </x:c>
      <x:c r="G86" s="60" t="str">
        <x:v>تُحدد الفرضيات التي يختبرها بعد بناء الملفات المحلية المستقلة</x:v>
      </x:c>
      <x:c r="H86" s="60" t="str">
        <x:v>HIGH — candidate</x:v>
      </x:c>
      <x:c r="I86" s="60" t="str">
        <x:v>https://corpus.quran.com/wordbyword.jsp?chapter=2&amp;verse=30</x:v>
      </x:c>
    </x:row>
    <x:row r="87">
      <x:c r="A87" s="60" t="str">
        <x:v>ج ع ل</x:v>
      </x:c>
      <x:c r="B87" s="60" t="str">
        <x:v>P1 — أصول تأسيسية عالية الأثر</x:v>
      </x:c>
      <x:c r="C87" s="60" t="str">
        <x:v>16:78</x:v>
      </x:c>
      <x:c r="D87" s="60" t="str">
        <x:v>وَٱللَّهُ أَخْرَجَكُم مِّنۢ بُطُونِ أُمَّهَٰتِكُمْ لَا تَعْلَمُونَ شَيْـًٔا وَجَعَلَ لَكُمُ ٱلسَّمْعَ وَٱلْأَبْصَٰرَ وَٱلْأَفْـِٔدَةَ لَعَلَّكُمْ تَشْكُرُونَ</x:v>
      </x:c>
      <x:c r="E87" s="60" t="str">
        <x:v>CANDIDATE_DECISIVE</x:v>
      </x:c>
      <x:c r="F87" s="60" t="str">
        <x:v>مرشح عالي القيمة بسبب تنوع المجال أو الصيغة أو المشاركين أو المقابلة؛ يلزم إثبات سبب الحسم في Blind Analysis</x:v>
      </x:c>
      <x:c r="G87" s="60" t="str">
        <x:v>تُحدد الفرضيات التي يختبرها بعد بناء الملفات المحلية المستقلة</x:v>
      </x:c>
      <x:c r="H87" s="60" t="str">
        <x:v>HIGH — candidate</x:v>
      </x:c>
      <x:c r="I87" s="60" t="str">
        <x:v>https://corpus.quran.com/wordbyword.jsp?chapter=16&amp;verse=78</x:v>
      </x:c>
    </x:row>
    <x:row r="88">
      <x:c r="A88" s="60" t="str">
        <x:v>ج ع ل</x:v>
      </x:c>
      <x:c r="B88" s="60" t="str">
        <x:v>P1 — أصول تأسيسية عالية الأثر</x:v>
      </x:c>
      <x:c r="C88" s="60" t="str">
        <x:v>18:94</x:v>
      </x:c>
      <x:c r="D88" s="60" t="str">
        <x:v>قَالُوا۟ يَٰذَا ٱلْقَرْنَيْنِ إِنَّ يَأْجُوجَ وَمَأْجُوجَ مُفْسِدُونَ فِى ٱلْأَرْضِ فَهَلْ نَجْعَلُ لَكَ خَرْجًا عَلَىٰٓ أَن تَجْعَلَ بَيْنَنَا وَبَيْنَهُمْ سَدًّا</x:v>
      </x:c>
      <x:c r="E88" s="60" t="str">
        <x:v>CANDIDATE_DECISIVE</x:v>
      </x:c>
      <x:c r="F88" s="60" t="str">
        <x:v>مرشح عالي القيمة بسبب تنوع المجال أو الصيغة أو المشاركين أو المقابلة؛ يلزم إثبات سبب الحسم في Blind Analysis</x:v>
      </x:c>
      <x:c r="G88" s="60" t="str">
        <x:v>تُحدد الفرضيات التي يختبرها بعد بناء الملفات المحلية المستقلة</x:v>
      </x:c>
      <x:c r="H88" s="60" t="str">
        <x:v>HIGH — candidate</x:v>
      </x:c>
      <x:c r="I88" s="60" t="str">
        <x:v>https://corpus.quran.com/wordbyword.jsp?chapter=18&amp;verse=94</x:v>
      </x:c>
    </x:row>
    <x:row r="89">
      <x:c r="A89" s="60" t="str">
        <x:v>ج ع ل</x:v>
      </x:c>
      <x:c r="B89" s="60" t="str">
        <x:v>P1 — أصول تأسيسية عالية الأثر</x:v>
      </x:c>
      <x:c r="C89" s="60" t="str">
        <x:v>43:3</x:v>
      </x:c>
      <x:c r="D89" s="60" t="str">
        <x:v>إِنَّا جَعَلْنَٰهُ قُرْءَٰنًا عَرَبِيًّا لَّعَلَّكُمْ تَعْقِلُونَ</x:v>
      </x:c>
      <x:c r="E89" s="60" t="str">
        <x:v>CANDIDATE_DECISIVE</x:v>
      </x:c>
      <x:c r="F89" s="60" t="str">
        <x:v>مرشح عالي القيمة بسبب تنوع المجال أو الصيغة أو المشاركين أو المقابلة؛ يلزم إثبات سبب الحسم في Blind Analysis</x:v>
      </x:c>
      <x:c r="G89" s="60" t="str">
        <x:v>تُحدد الفرضيات التي يختبرها بعد بناء الملفات المحلية المستقلة</x:v>
      </x:c>
      <x:c r="H89" s="60" t="str">
        <x:v>HIGH — candidate</x:v>
      </x:c>
      <x:c r="I89" s="60" t="str">
        <x:v>https://corpus.quran.com/wordbyword.jsp?chapter=43&amp;verse=3</x:v>
      </x:c>
    </x:row>
    <x:row r="90">
      <x:c r="A90" s="60" t="str">
        <x:v>ف ع ل</x:v>
      </x:c>
      <x:c r="B90" s="60" t="str">
        <x:v>P1 — أصول تأسيسية عالية الأثر</x:v>
      </x:c>
      <x:c r="C90" s="60" t="str">
        <x:v>21:23</x:v>
      </x:c>
      <x:c r="D90" s="60" t="str">
        <x:v>لَا يُسْـَٔلُ عَمَّا يَفْعَلُ وَهُمْ يُسْـَٔلُونَ</x:v>
      </x:c>
      <x:c r="E90" s="60" t="str">
        <x:v>CANDIDATE_DECISIVE</x:v>
      </x:c>
      <x:c r="F90" s="60" t="str">
        <x:v>مرشح عالي القيمة بسبب تنوع المجال أو الصيغة أو المشاركين أو المقابلة؛ يلزم إثبات سبب الحسم في Blind Analysis</x:v>
      </x:c>
      <x:c r="G90" s="60" t="str">
        <x:v>تُحدد الفرضيات التي يختبرها بعد بناء الملفات المحلية المستقلة</x:v>
      </x:c>
      <x:c r="H90" s="60" t="str">
        <x:v>HIGH — candidate</x:v>
      </x:c>
      <x:c r="I90" s="60" t="str">
        <x:v>https://corpus.quran.com/wordbyword.jsp?chapter=21&amp;verse=23</x:v>
      </x:c>
    </x:row>
    <x:row r="91">
      <x:c r="A91" s="60" t="str">
        <x:v>ف ع ل</x:v>
      </x:c>
      <x:c r="B91" s="60" t="str">
        <x:v>P1 — أصول تأسيسية عالية الأثر</x:v>
      </x:c>
      <x:c r="C91" s="60" t="str">
        <x:v>18:82</x:v>
      </x:c>
      <x:c r="D91" s="60" t="str">
        <x:v>وَأَمَّا ٱلْجِدَارُ فَكَانَ لِغُلَٰمَيْنِ يَتِيمَيْنِ فِى ٱلْمَدِينَةِ وَكَانَ تَحْتَهُۥ كَنزٌ لَّهُمَا وَكَانَ أَبُوهُمَا صَٰلِحًا فَأَرَادَ رَبُّكَ أَن يَبْلُغَآ أَشُدَّهُمَا وَيَسْتَخْرِجَا كَنزَهُمَا رَحْمَةً مِّن رَّبِّكَ وَمَا فَعَلْتُهُۥ عَنْ أَمْرِى ذَٰلِكَ تَأْوِيلُ مَا لَمْ تَسْطِع عَّلَيْهِ صَبْرًا</x:v>
      </x:c>
      <x:c r="E91" s="60" t="str">
        <x:v>CANDIDATE_DECISIVE</x:v>
      </x:c>
      <x:c r="F91" s="60" t="str">
        <x:v>مرشح عالي القيمة بسبب تنوع المجال أو الصيغة أو المشاركين أو المقابلة؛ يلزم إثبات سبب الحسم في Blind Analysis</x:v>
      </x:c>
      <x:c r="G91" s="60" t="str">
        <x:v>تُحدد الفرضيات التي يختبرها بعد بناء الملفات المحلية المستقلة</x:v>
      </x:c>
      <x:c r="H91" s="60" t="str">
        <x:v>HIGH — candidate</x:v>
      </x:c>
      <x:c r="I91" s="60" t="str">
        <x:v>https://corpus.quran.com/wordbyword.jsp?chapter=18&amp;verse=82</x:v>
      </x:c>
    </x:row>
    <x:row r="92">
      <x:c r="A92" s="60" t="str">
        <x:v>ف ع ل</x:v>
      </x:c>
      <x:c r="B92" s="60" t="str">
        <x:v>P1 — أصول تأسيسية عالية الأثر</x:v>
      </x:c>
      <x:c r="C92" s="60" t="str">
        <x:v>2:234</x:v>
      </x:c>
      <x:c r="D92" s="60" t="str">
        <x:v>وَٱلَّذِينَ يُتَوَفَّوْنَ مِنكُمْ وَيَذَرُونَ أَزْوَٰجًا يَتَرَبَّصْنَ بِأَنفُسِهِنَّ أَرْبَعَةَ أَشْهُرٍ وَعَشْرًا فَإِذَا بَلَغْنَ أَجَلَهُنَّ فَلَا جُنَاحَ عَلَيْكُمْ فِيمَا فَعَلْنَ فِىٓ أَنفُسِهِنَّ بِٱلْمَعْرُوفِ وَٱللَّهُ بِمَا تَعْمَلُونَ خَبِيرٌ</x:v>
      </x:c>
      <x:c r="E92" s="60" t="str">
        <x:v>CANDIDATE_DECISIVE</x:v>
      </x:c>
      <x:c r="F92" s="60" t="str">
        <x:v>مرشح عالي القيمة بسبب تنوع المجال أو الصيغة أو المشاركين أو المقابلة؛ يلزم إثبات سبب الحسم في Blind Analysis</x:v>
      </x:c>
      <x:c r="G92" s="60" t="str">
        <x:v>تُحدد الفرضيات التي يختبرها بعد بناء الملفات المحلية المستقلة</x:v>
      </x:c>
      <x:c r="H92" s="60" t="str">
        <x:v>HIGH — candidate</x:v>
      </x:c>
      <x:c r="I92" s="60" t="str">
        <x:v>https://corpus.quran.com/wordbyword.jsp?chapter=2&amp;verse=234</x:v>
      </x:c>
    </x:row>
    <x:row r="93">
      <x:c r="A93" s="60" t="str">
        <x:v>ف ع ل</x:v>
      </x:c>
      <x:c r="B93" s="60" t="str">
        <x:v>P1 — أصول تأسيسية عالية الأثر</x:v>
      </x:c>
      <x:c r="C93" s="60" t="str">
        <x:v>26:19</x:v>
      </x:c>
      <x:c r="D93" s="60" t="str">
        <x:v>وَفَعَلْتَ فَعْلَتَكَ ٱلَّتِى فَعَلْتَ وَأَنتَ مِنَ ٱلْكَٰفِرِينَ</x:v>
      </x:c>
      <x:c r="E93" s="60" t="str">
        <x:v>CANDIDATE_DECISIVE</x:v>
      </x:c>
      <x:c r="F93" s="60" t="str">
        <x:v>مرشح عالي القيمة بسبب تنوع المجال أو الصيغة أو المشاركين أو المقابلة؛ يلزم إثبات سبب الحسم في Blind Analysis</x:v>
      </x:c>
      <x:c r="G93" s="60" t="str">
        <x:v>تُحدد الفرضيات التي يختبرها بعد بناء الملفات المحلية المستقلة</x:v>
      </x:c>
      <x:c r="H93" s="60" t="str">
        <x:v>HIGH — candidate</x:v>
      </x:c>
      <x:c r="I93" s="60" t="str">
        <x:v>https://corpus.quran.com/wordbyword.jsp?chapter=26&amp;verse=19</x:v>
      </x:c>
    </x:row>
    <x:row r="94">
      <x:c r="A94" s="60" t="str">
        <x:v>ق ض ي (قضى)</x:v>
      </x:c>
      <x:c r="B94" s="60" t="str">
        <x:v>P1 — أصول تأسيسية عالية الأثر</x:v>
      </x:c>
      <x:c r="C94" s="60" t="str">
        <x:v>17:23</x:v>
      </x:c>
      <x:c r="D94" s="60" t="str">
        <x:v>وَقَضَىٰ رَبُّكَ أَلَّا تَعْبُدُوٓا۟ إِلَّآ إِيَّاهُ وَبِٱلْوَٰلِدَيْنِ إِحْسَٰنًا إِمَّا يَبْلُغَنَّ عِندَكَ ٱلْكِبَرَ أَحَدُهُمَآ أَوْ كِلَاهُمَا فَلَا تَقُل لَّهُمَآ أُفٍّ وَلَا تَنْهَرْهُمَا وَقُل لَّهُمَا قَوْلًا كَرِيمًا</x:v>
      </x:c>
      <x:c r="E94" s="60" t="str">
        <x:v>CANDIDATE_DECISIVE</x:v>
      </x:c>
      <x:c r="F94" s="60" t="str">
        <x:v>مرشح عالي القيمة بسبب تنوع المجال أو الصيغة أو المشاركين أو المقابلة؛ يلزم إثبات سبب الحسم في Blind Analysis</x:v>
      </x:c>
      <x:c r="G94" s="60" t="str">
        <x:v>تُحدد الفرضيات التي يختبرها بعد بناء الملفات المحلية المستقلة</x:v>
      </x:c>
      <x:c r="H94" s="60" t="str">
        <x:v>HIGH — candidate</x:v>
      </x:c>
      <x:c r="I94" s="60" t="str">
        <x:v>https://corpus.quran.com/wordbyword.jsp?chapter=17&amp;verse=23</x:v>
      </x:c>
    </x:row>
    <x:row r="95">
      <x:c r="A95" s="60" t="str">
        <x:v>ق ض ي (قضى)</x:v>
      </x:c>
      <x:c r="B95" s="60" t="str">
        <x:v>P1 — أصول تأسيسية عالية الأثر</x:v>
      </x:c>
      <x:c r="C95" s="60" t="str">
        <x:v>2:117</x:v>
      </x:c>
      <x:c r="D95" s="60" t="str">
        <x:v>بَدِيعُ ٱلسَّمَٰوَٰتِ وَٱلْأَرْضِ وَإِذَا قَضَىٰٓ أَمْرًا فَإِنَّمَا يَقُولُ لَهُۥ كُن فَيَكُونُ</x:v>
      </x:c>
      <x:c r="E95" s="60" t="str">
        <x:v>CANDIDATE_DECISIVE</x:v>
      </x:c>
      <x:c r="F95" s="60" t="str">
        <x:v>مرشح عالي القيمة بسبب تنوع المجال أو الصيغة أو المشاركين أو المقابلة؛ يلزم إثبات سبب الحسم في Blind Analysis</x:v>
      </x:c>
      <x:c r="G95" s="60" t="str">
        <x:v>تُحدد الفرضيات التي يختبرها بعد بناء الملفات المحلية المستقلة</x:v>
      </x:c>
      <x:c r="H95" s="60" t="str">
        <x:v>HIGH — candidate</x:v>
      </x:c>
      <x:c r="I95" s="60" t="str">
        <x:v>https://corpus.quran.com/wordbyword.jsp?chapter=2&amp;verse=117</x:v>
      </x:c>
    </x:row>
    <x:row r="96">
      <x:c r="A96" s="60" t="str">
        <x:v>ق ض ي (قضى)</x:v>
      </x:c>
      <x:c r="B96" s="60" t="str">
        <x:v>P1 — أصول تأسيسية عالية الأثر</x:v>
      </x:c>
      <x:c r="C96" s="60" t="str">
        <x:v>28:15</x:v>
      </x:c>
      <x:c r="D96" s="60" t="str">
        <x:v>وَدَخَلَ ٱلْمَدِينَةَ عَلَىٰ حِينِ غَفْلَةٍ مِّنْ أَهْلِهَا فَوَجَدَ فِيهَا رَجُلَيْنِ يَقْتَتِلَانِ هَٰذَا مِن شِيعَتِهِۦ وَهَٰذَا مِنْ عَدُوِّهِۦ فَٱسْتَغَٰثَهُ ٱلَّذِى مِن شِيعَتِهِۦ عَلَى ٱلَّذِى مِنْ عَدُوِّهِۦ فَوَكَزَهُۥ مُوسَىٰ فَقَضَىٰ عَلَيْهِ قَالَ هَٰذَا مِنْ عَمَلِ ٱلشَّيْطَٰنِ إِنَّهُۥ عَدُوٌّ مُّضِلٌّ مُّبِينٌ</x:v>
      </x:c>
      <x:c r="E96" s="60" t="str">
        <x:v>CANDIDATE_DECISIVE</x:v>
      </x:c>
      <x:c r="F96" s="60" t="str">
        <x:v>مرشح عالي القيمة بسبب تنوع المجال أو الصيغة أو المشاركين أو المقابلة؛ يلزم إثبات سبب الحسم في Blind Analysis</x:v>
      </x:c>
      <x:c r="G96" s="60" t="str">
        <x:v>تُحدد الفرضيات التي يختبرها بعد بناء الملفات المحلية المستقلة</x:v>
      </x:c>
      <x:c r="H96" s="60" t="str">
        <x:v>HIGH — candidate</x:v>
      </x:c>
      <x:c r="I96" s="60" t="str">
        <x:v>https://corpus.quran.com/wordbyword.jsp?chapter=28&amp;verse=15</x:v>
      </x:c>
    </x:row>
    <x:row r="97">
      <x:c r="A97" s="60" t="str">
        <x:v>ق ض ي (قضى)</x:v>
      </x:c>
      <x:c r="B97" s="60" t="str">
        <x:v>P1 — أصول تأسيسية عالية الأثر</x:v>
      </x:c>
      <x:c r="C97" s="60" t="str">
        <x:v>33:37</x:v>
      </x:c>
      <x:c r="D97" s="60" t="str">
        <x:v>وَإِذْ تَقُولُ لِلَّذِىٓ أَنْعَمَ ٱللَّهُ عَلَيْهِ وَأَنْعَمْتَ عَلَيْهِ أَمْسِكْ عَلَيْكَ زَوْجَكَ وَٱتَّقِ ٱللَّهَ وَتُخْفِى فِى نَفْسِكَ مَا ٱللَّهُ مُبْدِيهِ وَتَخْشَى ٱلنَّاسَ وَٱللَّهُ أَحَقُّ أَن تَخْشَىٰهُ فَلَمَّا قَضَىٰ زَيْدٌ مِّنْهَا وَطَرًا زَوَّجْنَٰكَهَا لِكَىْ لَا يَكُونَ عَلَى ٱلْمُؤْمِنِينَ حَرَجٌ فِىٓ أَزْوَٰجِ أَدْعِيَآئِهِمْ إِذَا قَضَوْا۟ مِنْهُنَّ وَطَرًا وَكَانَ أَمْرُ ٱللَّهِ مَفْعُولًا</x:v>
      </x:c>
      <x:c r="E97" s="60" t="str">
        <x:v>CANDIDATE_DECISIVE</x:v>
      </x:c>
      <x:c r="F97" s="60" t="str">
        <x:v>مرشح عالي القيمة بسبب تنوع المجال أو الصيغة أو المشاركين أو المقابلة؛ يلزم إثبات سبب الحسم في Blind Analysis</x:v>
      </x:c>
      <x:c r="G97" s="60" t="str">
        <x:v>تُحدد الفرضيات التي يختبرها بعد بناء الملفات المحلية المستقلة</x:v>
      </x:c>
      <x:c r="H97" s="60" t="str">
        <x:v>HIGH — candidate</x:v>
      </x:c>
      <x:c r="I97" s="60" t="str">
        <x:v>https://corpus.quran.com/wordbyword.jsp?chapter=33&amp;verse=37</x:v>
      </x:c>
    </x:row>
    <x:row r="98">
      <x:c r="A98" s="60" t="str">
        <x:v>ق ض ي (قضى)</x:v>
      </x:c>
      <x:c r="B98" s="60" t="str">
        <x:v>P1 — أصول تأسيسية عالية الأثر</x:v>
      </x:c>
      <x:c r="C98" s="60" t="str">
        <x:v>12:41</x:v>
      </x:c>
      <x:c r="D98" s="60" t="str">
        <x:v>يَٰصَىٰحِبَىِ ٱلسِّجْنِ أَمَّآ أَحَدُكُمَا فَيَسْقِى رَبَّهُۥ خَمْرًا وَأَمَّا ٱلْءَاخَرُ فَيُصْلَبُ فَتَأْكُلُ ٱلطَّيْرُ مِن رَّأْسِهِۦ قُضِىَ ٱلْأَمْرُ ٱلَّذِى فِيهِ تَسْتَفْتِيَانِ</x:v>
      </x:c>
      <x:c r="E98" s="60" t="str">
        <x:v>CANDIDATE_DECISIVE</x:v>
      </x:c>
      <x:c r="F98" s="60" t="str">
        <x:v>مرشح عالي القيمة بسبب تنوع المجال أو الصيغة أو المشاركين أو المقابلة؛ يلزم إثبات سبب الحسم في Blind Analysis</x:v>
      </x:c>
      <x:c r="G98" s="60" t="str">
        <x:v>تُحدد الفرضيات التي يختبرها بعد بناء الملفات المحلية المستقلة</x:v>
      </x:c>
      <x:c r="H98" s="60" t="str">
        <x:v>HIGH — candidate</x:v>
      </x:c>
      <x:c r="I98" s="60" t="str">
        <x:v>https://corpus.quran.com/wordbyword.jsp?chapter=12&amp;verse=41</x:v>
      </x:c>
    </x:row>
    <x:row r="99">
      <x:c r="A99" s="60" t="str">
        <x:v>ر ح م</x:v>
      </x:c>
      <x:c r="B99" s="60" t="str">
        <x:v>P2 — شبكات دلالية مركزية</x:v>
      </x:c>
      <x:c r="C99" s="60" t="str">
        <x:v>6:12</x:v>
      </x:c>
      <x:c r="D99" s="60" t="str">
        <x:v>قُل لِّمَن مَّا فِى ٱلسَّمَٰوَٰتِ وَٱلْأَرْضِ قُل لِّلَّهِ كَتَبَ عَلَىٰ نَفْسِهِ ٱلرَّحْمَةَ لَيَجْمَعَنَّكُمْ إِلَىٰ يَوْمِ ٱلْقِيَٰمَةِ لَا رَيْبَ فِيهِ ٱلَّذِينَ خَسِرُوٓا۟ أَنفُسَهُمْ فَهُمْ لَا يُؤْمِنُونَ</x:v>
      </x:c>
      <x:c r="E99" s="60" t="str">
        <x:v>CANDIDATE_DECISIVE</x:v>
      </x:c>
      <x:c r="F99" s="60" t="str">
        <x:v>مرشح عالي القيمة بسبب تنوع المجال أو الصيغة أو المشاركين أو المقابلة؛ يلزم إثبات سبب الحسم في Blind Analysis</x:v>
      </x:c>
      <x:c r="G99" s="60" t="str">
        <x:v>تُحدد الفرضيات التي يختبرها بعد بناء الملفات المحلية المستقلة</x:v>
      </x:c>
      <x:c r="H99" s="60" t="str">
        <x:v>HIGH — candidate</x:v>
      </x:c>
      <x:c r="I99" s="60" t="str">
        <x:v>https://corpus.quran.com/wordbyword.jsp?chapter=6&amp;verse=12</x:v>
      </x:c>
    </x:row>
    <x:row r="100">
      <x:c r="A100" s="60" t="str">
        <x:v>ر ح م</x:v>
      </x:c>
      <x:c r="B100" s="60" t="str">
        <x:v>P2 — شبكات دلالية مركزية</x:v>
      </x:c>
      <x:c r="C100" s="60" t="str">
        <x:v>90:17</x:v>
      </x:c>
      <x:c r="D100" s="60" t="str">
        <x:v>ثُمَّ كَانَ مِنَ ٱلَّذِينَ ءَامَنُوا۟ وَتَوَاصَوْا۟ بِٱلصَّبْرِ وَتَوَاصَوْا۟ بِٱلْمَرْحَمَةِ</x:v>
      </x:c>
      <x:c r="E100" s="60" t="str">
        <x:v>CANDIDATE_DECISIVE</x:v>
      </x:c>
      <x:c r="F100" s="60" t="str">
        <x:v>مرشح عالي القيمة بسبب تنوع المجال أو الصيغة أو المشاركين أو المقابلة؛ يلزم إثبات سبب الحسم في Blind Analysis</x:v>
      </x:c>
      <x:c r="G100" s="60" t="str">
        <x:v>تُحدد الفرضيات التي يختبرها بعد بناء الملفات المحلية المستقلة</x:v>
      </x:c>
      <x:c r="H100" s="60" t="str">
        <x:v>HIGH — candidate</x:v>
      </x:c>
      <x:c r="I100" s="60" t="str">
        <x:v>https://corpus.quran.com/wordbyword.jsp?chapter=90&amp;verse=17</x:v>
      </x:c>
    </x:row>
    <x:row r="101">
      <x:c r="A101" s="60" t="str">
        <x:v>ر ح م</x:v>
      </x:c>
      <x:c r="B101" s="60" t="str">
        <x:v>P2 — شبكات دلالية مركزية</x:v>
      </x:c>
      <x:c r="C101" s="60" t="str">
        <x:v>17:24</x:v>
      </x:c>
      <x:c r="D101" s="60" t="str">
        <x:v>وَٱخْفِضْ لَهُمَا جَنَاحَ ٱلذُّلِّ مِنَ ٱلرَّحْمَةِ وَقُل رَّبِّ ٱرْحَمْهُمَا كَمَا رَبَّيَانِى صَغِيرًا</x:v>
      </x:c>
      <x:c r="E101" s="60" t="str">
        <x:v>CANDIDATE_DECISIVE</x:v>
      </x:c>
      <x:c r="F101" s="60" t="str">
        <x:v>مرشح عالي القيمة بسبب تنوع المجال أو الصيغة أو المشاركين أو المقابلة؛ يلزم إثبات سبب الحسم في Blind Analysis</x:v>
      </x:c>
      <x:c r="G101" s="60" t="str">
        <x:v>تُحدد الفرضيات التي يختبرها بعد بناء الملفات المحلية المستقلة</x:v>
      </x:c>
      <x:c r="H101" s="60" t="str">
        <x:v>HIGH — candidate</x:v>
      </x:c>
      <x:c r="I101" s="60" t="str">
        <x:v>https://corpus.quran.com/wordbyword.jsp?chapter=17&amp;verse=24</x:v>
      </x:c>
    </x:row>
    <x:row r="102">
      <x:c r="A102" s="60" t="str">
        <x:v>ر ح م</x:v>
      </x:c>
      <x:c r="B102" s="60" t="str">
        <x:v>P2 — شبكات دلالية مركزية</x:v>
      </x:c>
      <x:c r="C102" s="60" t="str">
        <x:v>18:82</x:v>
      </x:c>
      <x:c r="D102" s="60" t="str">
        <x:v>وَأَمَّا ٱلْجِدَارُ فَكَانَ لِغُلَٰمَيْنِ يَتِيمَيْنِ فِى ٱلْمَدِينَةِ وَكَانَ تَحْتَهُۥ كَنزٌ لَّهُمَا وَكَانَ أَبُوهُمَا صَٰلِحًا فَأَرَادَ رَبُّكَ أَن يَبْلُغَآ أَشُدَّهُمَا وَيَسْتَخْرِجَا كَنزَهُمَا رَحْمَةً مِّن رَّبِّكَ وَمَا فَعَلْتُهُۥ عَنْ أَمْرِى ذَٰلِكَ تَأْوِيلُ مَا لَمْ تَسْطِع عَّلَيْهِ صَبْرًا</x:v>
      </x:c>
      <x:c r="E102" s="60" t="str">
        <x:v>CANDIDATE_DECISIVE</x:v>
      </x:c>
      <x:c r="F102" s="60" t="str">
        <x:v>مرشح عالي القيمة بسبب تنوع المجال أو الصيغة أو المشاركين أو المقابلة؛ يلزم إثبات سبب الحسم في Blind Analysis</x:v>
      </x:c>
      <x:c r="G102" s="60" t="str">
        <x:v>تُحدد الفرضيات التي يختبرها بعد بناء الملفات المحلية المستقلة</x:v>
      </x:c>
      <x:c r="H102" s="60" t="str">
        <x:v>HIGH — candidate</x:v>
      </x:c>
      <x:c r="I102" s="60" t="str">
        <x:v>https://corpus.quran.com/wordbyword.jsp?chapter=18&amp;verse=82</x:v>
      </x:c>
    </x:row>
    <x:row r="103">
      <x:c r="A103" s="60" t="str">
        <x:v>ذ ك ر</x:v>
      </x:c>
      <x:c r="B103" s="60" t="str">
        <x:v>P2 — شبكات دلالية مركزية</x:v>
      </x:c>
      <x:c r="C103" s="60" t="str">
        <x:v>2:152</x:v>
      </x:c>
      <x:c r="D103" s="60" t="str">
        <x:v>فَٱذْكُرُونِىٓ أَذْكُرْكُمْ وَٱشْكُرُوا۟ لِى وَلَا تَكْفُرُونِ</x:v>
      </x:c>
      <x:c r="E103" s="60" t="str">
        <x:v>CANDIDATE_DECISIVE</x:v>
      </x:c>
      <x:c r="F103" s="60" t="str">
        <x:v>مرشح عالي القيمة بسبب تنوع المجال أو الصيغة أو المشاركين أو المقابلة؛ يلزم إثبات سبب الحسم في Blind Analysis</x:v>
      </x:c>
      <x:c r="G103" s="60" t="str">
        <x:v>تُحدد الفرضيات التي يختبرها بعد بناء الملفات المحلية المستقلة</x:v>
      </x:c>
      <x:c r="H103" s="60" t="str">
        <x:v>HIGH — candidate</x:v>
      </x:c>
      <x:c r="I103" s="60" t="str">
        <x:v>https://corpus.quran.com/wordbyword.jsp?chapter=2&amp;verse=152</x:v>
      </x:c>
    </x:row>
    <x:row r="104">
      <x:c r="A104" s="60" t="str">
        <x:v>ذ ك ر</x:v>
      </x:c>
      <x:c r="B104" s="60" t="str">
        <x:v>P2 — شبكات دلالية مركزية</x:v>
      </x:c>
      <x:c r="C104" s="60" t="str">
        <x:v>54:17</x:v>
      </x:c>
      <x:c r="D104" s="60" t="str">
        <x:v>وَلَقَدْ يَسَّرْنَا ٱلْقُرْءَانَ لِلذِّكْرِ فَهَلْ مِن مُّدَّكِرٍ</x:v>
      </x:c>
      <x:c r="E104" s="60" t="str">
        <x:v>CANDIDATE_DECISIVE</x:v>
      </x:c>
      <x:c r="F104" s="60" t="str">
        <x:v>مرشح عالي القيمة بسبب تنوع المجال أو الصيغة أو المشاركين أو المقابلة؛ يلزم إثبات سبب الحسم في Blind Analysis</x:v>
      </x:c>
      <x:c r="G104" s="60" t="str">
        <x:v>تُحدد الفرضيات التي يختبرها بعد بناء الملفات المحلية المستقلة</x:v>
      </x:c>
      <x:c r="H104" s="60" t="str">
        <x:v>HIGH — candidate</x:v>
      </x:c>
      <x:c r="I104" s="60" t="str">
        <x:v>https://corpus.quran.com/wordbyword.jsp?chapter=54&amp;verse=17</x:v>
      </x:c>
    </x:row>
    <x:row r="105">
      <x:c r="A105" s="60" t="str">
        <x:v>ذ ك ر</x:v>
      </x:c>
      <x:c r="B105" s="60" t="str">
        <x:v>P2 — شبكات دلالية مركزية</x:v>
      </x:c>
      <x:c r="C105" s="60" t="str">
        <x:v>21:10</x:v>
      </x:c>
      <x:c r="D105" s="60" t="str">
        <x:v>لَقَدْ أَنزَلْنَآ إِلَيْكُمْ كِتَٰبًا فِيهِ ذِكْرُكُمْ أَفَلَا تَعْقِلُونَ</x:v>
      </x:c>
      <x:c r="E105" s="60" t="str">
        <x:v>CANDIDATE_DECISIVE</x:v>
      </x:c>
      <x:c r="F105" s="60" t="str">
        <x:v>مرشح عالي القيمة بسبب تنوع المجال أو الصيغة أو المشاركين أو المقابلة؛ يلزم إثبات سبب الحسم في Blind Analysis</x:v>
      </x:c>
      <x:c r="G105" s="60" t="str">
        <x:v>تُحدد الفرضيات التي يختبرها بعد بناء الملفات المحلية المستقلة</x:v>
      </x:c>
      <x:c r="H105" s="60" t="str">
        <x:v>HIGH — candidate</x:v>
      </x:c>
      <x:c r="I105" s="60" t="str">
        <x:v>https://corpus.quran.com/wordbyword.jsp?chapter=21&amp;verse=10</x:v>
      </x:c>
    </x:row>
    <x:row r="106">
      <x:c r="A106" s="60" t="str">
        <x:v>ذ ك ر</x:v>
      </x:c>
      <x:c r="B106" s="60" t="str">
        <x:v>P2 — شبكات دلالية مركزية</x:v>
      </x:c>
      <x:c r="C106" s="60" t="str">
        <x:v>43:44</x:v>
      </x:c>
      <x:c r="D106" s="60" t="str">
        <x:v>وَإِنَّهُۥ لَذِكْرٌ لَّكَ وَلِقَوْمِكَ وَسَوْفَ تُسْـَٔلُونَ</x:v>
      </x:c>
      <x:c r="E106" s="60" t="str">
        <x:v>CANDIDATE_DECISIVE</x:v>
      </x:c>
      <x:c r="F106" s="60" t="str">
        <x:v>مرشح عالي القيمة بسبب تنوع المجال أو الصيغة أو المشاركين أو المقابلة؛ يلزم إثبات سبب الحسم في Blind Analysis</x:v>
      </x:c>
      <x:c r="G106" s="60" t="str">
        <x:v>تُحدد الفرضيات التي يختبرها بعد بناء الملفات المحلية المستقلة</x:v>
      </x:c>
      <x:c r="H106" s="60" t="str">
        <x:v>HIGH — candidate</x:v>
      </x:c>
      <x:c r="I106" s="60" t="str">
        <x:v>https://corpus.quran.com/wordbyword.jsp?chapter=43&amp;verse=44</x:v>
      </x:c>
    </x:row>
    <x:row r="107">
      <x:c r="A107" s="60" t="str">
        <x:v>ك ذ ب</x:v>
      </x:c>
      <x:c r="B107" s="60" t="str">
        <x:v>P2 — شبكات دلالية مركزية</x:v>
      </x:c>
      <x:c r="C107" s="60" t="str">
        <x:v>12:18</x:v>
      </x:c>
      <x:c r="D107" s="60" t="str">
        <x:v>وَجَآءُو عَلَىٰ قَمِيصِهِۦ بِدَمٍ كَذِبٍ قَالَ بَلْ سَوَّلَتْ لَكُمْ أَنفُسُكُمْ أَمْرًا فَصَبْرٌ جَمِيلٌ وَٱللَّهُ ٱلْمُسْتَعَانُ عَلَىٰ مَا تَصِفُونَ</x:v>
      </x:c>
      <x:c r="E107" s="60" t="str">
        <x:v>CANDIDATE_DECISIVE</x:v>
      </x:c>
      <x:c r="F107" s="60" t="str">
        <x:v>مرشح عالي القيمة بسبب تنوع المجال أو الصيغة أو المشاركين أو المقابلة؛ يلزم إثبات سبب الحسم في Blind Analysis</x:v>
      </x:c>
      <x:c r="G107" s="60" t="str">
        <x:v>تُحدد الفرضيات التي يختبرها بعد بناء الملفات المحلية المستقلة</x:v>
      </x:c>
      <x:c r="H107" s="60" t="str">
        <x:v>HIGH — candidate</x:v>
      </x:c>
      <x:c r="I107" s="60" t="str">
        <x:v>https://corpus.quran.com/wordbyword.jsp?chapter=12&amp;verse=18</x:v>
      </x:c>
    </x:row>
    <x:row r="108">
      <x:c r="A108" s="60" t="str">
        <x:v>ك ذ ب</x:v>
      </x:c>
      <x:c r="B108" s="60" t="str">
        <x:v>P2 — شبكات دلالية مركزية</x:v>
      </x:c>
      <x:c r="C108" s="60" t="str">
        <x:v>39:32</x:v>
      </x:c>
      <x:c r="D108" s="60" t="str">
        <x:v>فَمَنْ أَظْلَمُ مِمَّن كَذَبَ عَلَى ٱللَّهِ وَكَذَّبَ بِٱلصِّدْقِ إِذْ جَآءَهُۥٓ أَلَيْسَ فِى جَهَنَّمَ مَثْوًى لِّلْكَٰفِرِينَ</x:v>
      </x:c>
      <x:c r="E108" s="60" t="str">
        <x:v>CANDIDATE_DECISIVE</x:v>
      </x:c>
      <x:c r="F108" s="60" t="str">
        <x:v>مرشح عالي القيمة بسبب تنوع المجال أو الصيغة أو المشاركين أو المقابلة؛ يلزم إثبات سبب الحسم في Blind Analysis</x:v>
      </x:c>
      <x:c r="G108" s="60" t="str">
        <x:v>تُحدد الفرضيات التي يختبرها بعد بناء الملفات المحلية المستقلة</x:v>
      </x:c>
      <x:c r="H108" s="60" t="str">
        <x:v>HIGH — candidate</x:v>
      </x:c>
      <x:c r="I108" s="60" t="str">
        <x:v>https://corpus.quran.com/wordbyword.jsp?chapter=39&amp;verse=32</x:v>
      </x:c>
    </x:row>
    <x:row r="109">
      <x:c r="A109" s="60" t="str">
        <x:v>ك ذ ب</x:v>
      </x:c>
      <x:c r="B109" s="60" t="str">
        <x:v>P2 — شبكات دلالية مركزية</x:v>
      </x:c>
      <x:c r="C109" s="60" t="str">
        <x:v>6:21</x:v>
      </x:c>
      <x:c r="D109" s="60" t="str">
        <x:v>وَمَنْ أَظْلَمُ مِمَّنِ ٱفْتَرَىٰ عَلَى ٱللَّهِ كَذِبًا أَوْ كَذَّبَ بِـَٔايَٰتِهِۦٓ إِنَّهُۥ لَا يُفْلِحُ ٱلظَّٰلِمُونَ</x:v>
      </x:c>
      <x:c r="E109" s="60" t="str">
        <x:v>CANDIDATE_DECISIVE</x:v>
      </x:c>
      <x:c r="F109" s="60" t="str">
        <x:v>مرشح عالي القيمة بسبب تنوع المجال أو الصيغة أو المشاركين أو المقابلة؛ يلزم إثبات سبب الحسم في Blind Analysis</x:v>
      </x:c>
      <x:c r="G109" s="60" t="str">
        <x:v>تُحدد الفرضيات التي يختبرها بعد بناء الملفات المحلية المستقلة</x:v>
      </x:c>
      <x:c r="H109" s="60" t="str">
        <x:v>HIGH — candidate</x:v>
      </x:c>
      <x:c r="I109" s="60" t="str">
        <x:v>https://corpus.quran.com/wordbyword.jsp?chapter=6&amp;verse=21</x:v>
      </x:c>
    </x:row>
    <x:row r="110">
      <x:c r="A110" s="60" t="str">
        <x:v>ك ذ ب</x:v>
      </x:c>
      <x:c r="B110" s="60" t="str">
        <x:v>P2 — شبكات دلالية مركزية</x:v>
      </x:c>
      <x:c r="C110" s="60" t="str">
        <x:v>77:19</x:v>
      </x:c>
      <x:c r="D110" s="60" t="str">
        <x:v>وَيْلٌ يَوْمَئِذٍ لِّلْمُكَذِّبِينَ</x:v>
      </x:c>
      <x:c r="E110" s="60" t="str">
        <x:v>CANDIDATE_DECISIVE</x:v>
      </x:c>
      <x:c r="F110" s="60" t="str">
        <x:v>مرشح عالي القيمة بسبب تنوع المجال أو الصيغة أو المشاركين أو المقابلة؛ يلزم إثبات سبب الحسم في Blind Analysis</x:v>
      </x:c>
      <x:c r="G110" s="60" t="str">
        <x:v>تُحدد الفرضيات التي يختبرها بعد بناء الملفات المحلية المستقلة</x:v>
      </x:c>
      <x:c r="H110" s="60" t="str">
        <x:v>HIGH — candidate</x:v>
      </x:c>
      <x:c r="I110" s="60" t="str">
        <x:v>https://corpus.quran.com/wordbyword.jsp?chapter=77&amp;verse=19</x:v>
      </x:c>
    </x:row>
    <x:row r="111">
      <x:c r="A111" s="60" t="str">
        <x:v>ن ف س</x:v>
      </x:c>
      <x:c r="B111" s="60" t="str">
        <x:v>P2 — شبكات دلالية مركزية</x:v>
      </x:c>
      <x:c r="C111" s="60" t="str">
        <x:v>6:12</x:v>
      </x:c>
      <x:c r="D111" s="60" t="str">
        <x:v>قُل لِّمَن مَّا فِى ٱلسَّمَٰوَٰتِ وَٱلْأَرْضِ قُل لِّلَّهِ كَتَبَ عَلَىٰ نَفْسِهِ ٱلرَّحْمَةَ لَيَجْمَعَنَّكُمْ إِلَىٰ يَوْمِ ٱلْقِيَٰمَةِ لَا رَيْبَ فِيهِ ٱلَّذِينَ خَسِرُوٓا۟ أَنفُسَهُمْ فَهُمْ لَا يُؤْمِنُونَ</x:v>
      </x:c>
      <x:c r="E111" s="60" t="str">
        <x:v>CANDIDATE_DECISIVE</x:v>
      </x:c>
      <x:c r="F111" s="60" t="str">
        <x:v>مرشح عالي القيمة بسبب تنوع المجال أو الصيغة أو المشاركين أو المقابلة؛ يلزم إثبات سبب الحسم في Blind Analysis</x:v>
      </x:c>
      <x:c r="G111" s="60" t="str">
        <x:v>تُحدد الفرضيات التي يختبرها بعد بناء الملفات المحلية المستقلة</x:v>
      </x:c>
      <x:c r="H111" s="60" t="str">
        <x:v>HIGH — candidate</x:v>
      </x:c>
      <x:c r="I111" s="60" t="str">
        <x:v>https://corpus.quran.com/wordbyword.jsp?chapter=6&amp;verse=12</x:v>
      </x:c>
    </x:row>
    <x:row r="112">
      <x:c r="A112" s="60" t="str">
        <x:v>ن ف س</x:v>
      </x:c>
      <x:c r="B112" s="60" t="str">
        <x:v>P2 — شبكات دلالية مركزية</x:v>
      </x:c>
      <x:c r="C112" s="60" t="str">
        <x:v>12:53</x:v>
      </x:c>
      <x:c r="D112" s="60" t="str">
        <x:v>وَمَآ أُبَرِّئُ نَفْسِىٓ إِنَّ ٱلنَّفْسَ لَأَمَّارَةٌۢ بِٱلسُّوٓءِ إِلَّا مَا رَحِمَ رَبِّىٓ إِنَّ رَبِّى غَفُورٌ رَّحِيمٌ</x:v>
      </x:c>
      <x:c r="E112" s="60" t="str">
        <x:v>CANDIDATE_DECISIVE</x:v>
      </x:c>
      <x:c r="F112" s="60" t="str">
        <x:v>مرشح عالي القيمة بسبب تنوع المجال أو الصيغة أو المشاركين أو المقابلة؛ يلزم إثبات سبب الحسم في Blind Analysis</x:v>
      </x:c>
      <x:c r="G112" s="60" t="str">
        <x:v>تُحدد الفرضيات التي يختبرها بعد بناء الملفات المحلية المستقلة</x:v>
      </x:c>
      <x:c r="H112" s="60" t="str">
        <x:v>HIGH — candidate</x:v>
      </x:c>
      <x:c r="I112" s="60" t="str">
        <x:v>https://corpus.quran.com/wordbyword.jsp?chapter=12&amp;verse=53</x:v>
      </x:c>
    </x:row>
    <x:row r="113">
      <x:c r="A113" s="60" t="str">
        <x:v>ن ف س</x:v>
      </x:c>
      <x:c r="B113" s="60" t="str">
        <x:v>P2 — شبكات دلالية مركزية</x:v>
      </x:c>
      <x:c r="C113" s="60" t="str">
        <x:v>39:42</x:v>
      </x:c>
      <x:c r="D113" s="60" t="str">
        <x:v>ٱللَّهُ يَتَوَفَّى ٱلْأَنفُسَ حِينَ مَوْتِهَا وَٱلَّتِى لَمْ تَمُتْ فِى مَنَامِهَا فَيُمْسِكُ ٱلَّتِى قَضَىٰ عَلَيْهَا ٱلْمَوْتَ وَيُرْسِلُ ٱلْأُخْرَىٰٓ إِلَىٰٓ أَجَلٍ مُّسَمًّى إِنَّ فِى ذَٰلِكَ لَءَايَٰتٍ لِّقَوْمٍ يَتَفَكَّرُونَ</x:v>
      </x:c>
      <x:c r="E113" s="60" t="str">
        <x:v>CANDIDATE_DECISIVE</x:v>
      </x:c>
      <x:c r="F113" s="60" t="str">
        <x:v>مرشح عالي القيمة بسبب تنوع المجال أو الصيغة أو المشاركين أو المقابلة؛ يلزم إثبات سبب الحسم في Blind Analysis</x:v>
      </x:c>
      <x:c r="G113" s="60" t="str">
        <x:v>تُحدد الفرضيات التي يختبرها بعد بناء الملفات المحلية المستقلة</x:v>
      </x:c>
      <x:c r="H113" s="60" t="str">
        <x:v>HIGH — candidate</x:v>
      </x:c>
      <x:c r="I113" s="60" t="str">
        <x:v>https://corpus.quran.com/wordbyword.jsp?chapter=39&amp;verse=42</x:v>
      </x:c>
    </x:row>
    <x:row r="114">
      <x:c r="A114" s="60" t="str">
        <x:v>ن ف س</x:v>
      </x:c>
      <x:c r="B114" s="60" t="str">
        <x:v>P2 — شبكات دلالية مركزية</x:v>
      </x:c>
      <x:c r="C114" s="60" t="str">
        <x:v>2:286</x:v>
      </x:c>
      <x:c r="D114" s="60" t="str">
        <x:v>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x:v>
      </x:c>
      <x:c r="E114" s="60" t="str">
        <x:v>CANDIDATE_DECISIVE</x:v>
      </x:c>
      <x:c r="F114" s="60" t="str">
        <x:v>مرشح عالي القيمة بسبب تنوع المجال أو الصيغة أو المشاركين أو المقابلة؛ يلزم إثبات سبب الحسم في Blind Analysis</x:v>
      </x:c>
      <x:c r="G114" s="60" t="str">
        <x:v>تُحدد الفرضيات التي يختبرها بعد بناء الملفات المحلية المستقلة</x:v>
      </x:c>
      <x:c r="H114" s="60" t="str">
        <x:v>HIGH — candidate</x:v>
      </x:c>
      <x:c r="I114" s="60" t="str">
        <x:v>https://corpus.quran.com/wordbyword.jsp?chapter=2&amp;verse=286</x:v>
      </x:c>
    </x:row>
    <x:row r="115">
      <x:c r="A115" s="60" t="str">
        <x:v>ح ي ي</x:v>
      </x:c>
      <x:c r="B115" s="60" t="str">
        <x:v>P2 — شبكات دلالية مركزية</x:v>
      </x:c>
      <x:c r="C115" s="60" t="str">
        <x:v>2:258</x:v>
      </x:c>
      <x:c r="D115" s="60" t="str">
        <x:v>أَلَمْ تَرَ إِلَى ٱلَّذِى حَآجَّ إِبْرَٰهِۦمَ فِى رَبِّهِۦٓ أَنْ ءَاتَىٰهُ ٱللَّهُ ٱلْمُلْكَ إِذْ قَالَ إِبْرَٰهِۦمُ رَبِّىَ ٱلَّذِى يُحْىِۦ وَيُمِيتُ قَالَ أَنَا۠ أُحْىِۦ وَأُمِيتُ قَالَ إِبْرَٰهِۦمُ فَإِنَّ ٱللَّهَ يَأْتِى بِٱلشَّمْسِ مِنَ ٱلْمَشْرِقِ فَأْتِ بِهَا مِنَ ٱلْمَغْرِبِ فَبُهِتَ ٱلَّذِى كَفَرَ وَٱللَّهُ لَا يَهْدِى ٱلْقَوْمَ ٱلظَّٰلِمِينَ</x:v>
      </x:c>
      <x:c r="E115" s="60" t="str">
        <x:v>CANDIDATE_DECISIVE</x:v>
      </x:c>
      <x:c r="F115" s="60" t="str">
        <x:v>مرشح عالي القيمة بسبب تنوع المجال أو الصيغة أو المشاركين أو المقابلة؛ يلزم إثبات سبب الحسم في Blind Analysis</x:v>
      </x:c>
      <x:c r="G115" s="60" t="str">
        <x:v>تُحدد الفرضيات التي يختبرها بعد بناء الملفات المحلية المستقلة</x:v>
      </x:c>
      <x:c r="H115" s="60" t="str">
        <x:v>HIGH — candidate</x:v>
      </x:c>
      <x:c r="I115" s="60" t="str">
        <x:v>https://corpus.quran.com/wordbyword.jsp?chapter=2&amp;verse=258</x:v>
      </x:c>
    </x:row>
    <x:row r="116">
      <x:c r="A116" s="60" t="str">
        <x:v>ح ي ي</x:v>
      </x:c>
      <x:c r="B116" s="60" t="str">
        <x:v>P2 — شبكات دلالية مركزية</x:v>
      </x:c>
      <x:c r="C116" s="60" t="str">
        <x:v>30:19</x:v>
      </x:c>
      <x:c r="D116" s="60" t="str">
        <x:v>يُخْرِجُ ٱلْحَىَّ مِنَ ٱلْمَيِّتِ وَيُخْرِجُ ٱلْمَيِّتَ مِنَ ٱلْحَىِّ وَيُحْىِ ٱلْأَرْضَ بَعْدَ مَوْتِهَا وَكَذَٰلِكَ تُخْرَجُونَ</x:v>
      </x:c>
      <x:c r="E116" s="60" t="str">
        <x:v>CANDIDATE_DECISIVE</x:v>
      </x:c>
      <x:c r="F116" s="60" t="str">
        <x:v>مرشح عالي القيمة بسبب تنوع المجال أو الصيغة أو المشاركين أو المقابلة؛ يلزم إثبات سبب الحسم في Blind Analysis</x:v>
      </x:c>
      <x:c r="G116" s="60" t="str">
        <x:v>تُحدد الفرضيات التي يختبرها بعد بناء الملفات المحلية المستقلة</x:v>
      </x:c>
      <x:c r="H116" s="60" t="str">
        <x:v>HIGH — candidate</x:v>
      </x:c>
      <x:c r="I116" s="60" t="str">
        <x:v>https://corpus.quran.com/wordbyword.jsp?chapter=30&amp;verse=19</x:v>
      </x:c>
    </x:row>
    <x:row r="117">
      <x:c r="A117" s="60" t="str">
        <x:v>ح ي ي</x:v>
      </x:c>
      <x:c r="B117" s="60" t="str">
        <x:v>P2 — شبكات دلالية مركزية</x:v>
      </x:c>
      <x:c r="C117" s="60" t="str">
        <x:v>8:42</x:v>
      </x:c>
      <x:c r="D117" s="60" t="str">
        <x:v>إِذْ أَنتُم بِٱلْعُدْوَةِ ٱلدُّنْيَا وَهُم بِٱلْعُدْوَةِ ٱلْقُصْوَىٰ وَٱلرَّكْبُ أَسْفَلَ مِنكُمْ وَلَوْ تَوَاعَدتُّمْ لَٱخْتَلَفْتُمْ فِى ٱلْمِيعَٰدِ وَلَٰكِن لِّيَقْضِىَ ٱللَّهُ أَمْرًا كَانَ مَفْعُولًا لِّيَهْلِكَ مَنْ هَلَكَ عَنۢ بَيِّنَةٍ وَيَحْيَىٰ مَنْ حَىَّ عَنۢ بَيِّنَةٍ وَإِنَّ ٱللَّهَ لَسَمِيعٌ عَلِيمٌ</x:v>
      </x:c>
      <x:c r="E117" s="60" t="str">
        <x:v>CANDIDATE_DECISIVE</x:v>
      </x:c>
      <x:c r="F117" s="60" t="str">
        <x:v>مرشح عالي القيمة بسبب تنوع المجال أو الصيغة أو المشاركين أو المقابلة؛ يلزم إثبات سبب الحسم في Blind Analysis</x:v>
      </x:c>
      <x:c r="G117" s="60" t="str">
        <x:v>تُحدد الفرضيات التي يختبرها بعد بناء الملفات المحلية المستقلة</x:v>
      </x:c>
      <x:c r="H117" s="60" t="str">
        <x:v>HIGH — candidate</x:v>
      </x:c>
      <x:c r="I117" s="60" t="str">
        <x:v>https://corpus.quran.com/wordbyword.jsp?chapter=8&amp;verse=42</x:v>
      </x:c>
    </x:row>
    <x:row r="118">
      <x:c r="A118" s="60" t="str">
        <x:v>ح ي ي</x:v>
      </x:c>
      <x:c r="B118" s="60" t="str">
        <x:v>P2 — شبكات دلالية مركزية</x:v>
      </x:c>
      <x:c r="C118" s="60" t="str">
        <x:v>16:21</x:v>
      </x:c>
      <x:c r="D118" s="60" t="str">
        <x:v>أَمْوَٰتٌ غَيْرُ أَحْيَآءٍ وَمَا يَشْعُرُونَ أَيَّانَ يُبْعَثُونَ</x:v>
      </x:c>
      <x:c r="E118" s="60" t="str">
        <x:v>CANDIDATE_DECISIVE</x:v>
      </x:c>
      <x:c r="F118" s="60" t="str">
        <x:v>مرشح عالي القيمة بسبب تنوع المجال أو الصيغة أو المشاركين أو المقابلة؛ يلزم إثبات سبب الحسم في Blind Analysis</x:v>
      </x:c>
      <x:c r="G118" s="60" t="str">
        <x:v>تُحدد الفرضيات التي يختبرها بعد بناء الملفات المحلية المستقلة</x:v>
      </x:c>
      <x:c r="H118" s="60" t="str">
        <x:v>HIGH — candidate</x:v>
      </x:c>
      <x:c r="I118" s="60" t="str">
        <x:v>https://corpus.quran.com/wordbyword.jsp?chapter=16&amp;verse=21</x:v>
      </x:c>
    </x:row>
    <x:row r="119">
      <x:c r="A119" s="60" t="str">
        <x:v>ق ل ب</x:v>
      </x:c>
      <x:c r="B119" s="60" t="str">
        <x:v>P2 — شبكات دلالية مركزية</x:v>
      </x:c>
      <x:c r="C119" s="60" t="str">
        <x:v>2:10</x:v>
      </x:c>
      <x:c r="D119" s="60" t="str">
        <x:v>فِى قُلُوبِهِم مَّرَضٌ فَزَادَهُمُ ٱللَّهُ مَرَضًا وَلَهُمْ عَذَابٌ أَلِيمٌۢ بِمَا كَانُوا۟ يَكْذِبُونَ</x:v>
      </x:c>
      <x:c r="E119" s="60" t="str">
        <x:v>CANDIDATE_DECISIVE</x:v>
      </x:c>
      <x:c r="F119" s="60" t="str">
        <x:v>مرشح عالي القيمة بسبب تنوع المجال أو الصيغة أو المشاركين أو المقابلة؛ يلزم إثبات سبب الحسم في Blind Analysis</x:v>
      </x:c>
      <x:c r="G119" s="60" t="str">
        <x:v>تُحدد الفرضيات التي يختبرها بعد بناء الملفات المحلية المستقلة</x:v>
      </x:c>
      <x:c r="H119" s="60" t="str">
        <x:v>HIGH — candidate</x:v>
      </x:c>
      <x:c r="I119" s="60" t="str">
        <x:v>https://corpus.quran.com/wordbyword.jsp?chapter=2&amp;verse=10</x:v>
      </x:c>
    </x:row>
    <x:row r="120">
      <x:c r="A120" s="60" t="str">
        <x:v>ق ل ب</x:v>
      </x:c>
      <x:c r="B120" s="60" t="str">
        <x:v>P2 — شبكات دلالية مركزية</x:v>
      </x:c>
      <x:c r="C120" s="60" t="str">
        <x:v>6:110</x:v>
      </x:c>
      <x:c r="D120" s="60" t="str">
        <x:v>وَنُقَلِّبُ أَفْـِٔدَتَهُمْ وَأَبْصَٰرَهُمْ كَمَا لَمْ يُؤْمِنُوا۟ بِهِۦٓ أَوَّلَ مَرَّةٍ وَنَذَرُهُمْ فِى طُغْيَٰنِهِمْ يَعْمَهُونَ</x:v>
      </x:c>
      <x:c r="E120" s="60" t="str">
        <x:v>CANDIDATE_DECISIVE</x:v>
      </x:c>
      <x:c r="F120" s="60" t="str">
        <x:v>مرشح عالي القيمة بسبب تنوع المجال أو الصيغة أو المشاركين أو المقابلة؛ يلزم إثبات سبب الحسم في Blind Analysis</x:v>
      </x:c>
      <x:c r="G120" s="60" t="str">
        <x:v>تُحدد الفرضيات التي يختبرها بعد بناء الملفات المحلية المستقلة</x:v>
      </x:c>
      <x:c r="H120" s="60" t="str">
        <x:v>HIGH — candidate</x:v>
      </x:c>
      <x:c r="I120" s="60" t="str">
        <x:v>https://corpus.quran.com/wordbyword.jsp?chapter=6&amp;verse=110</x:v>
      </x:c>
    </x:row>
    <x:row r="121">
      <x:c r="A121" s="60" t="str">
        <x:v>ق ل ب</x:v>
      </x:c>
      <x:c r="B121" s="60" t="str">
        <x:v>P2 — شبكات دلالية مركزية</x:v>
      </x:c>
      <x:c r="C121" s="60" t="str">
        <x:v>3:144</x:v>
      </x:c>
      <x:c r="D121" s="60" t="str">
        <x:v>وَمَا مُحَمَّدٌ إِلَّا رَسُولٌ قَدْ خَلَتْ مِن قَبْلِهِ ٱلرُّسُلُ أَفَإِي۟ن مَّاتَ أَوْ قُتِلَ ٱنقَلَبْتُمْ عَلَىٰٓ أَعْقَٰبِكُمْ وَمَن يَنقَلِبْ عَلَىٰ عَقِبَيْهِ فَلَن يَضُرَّ ٱللَّهَ شَيْـًٔا وَسَيَجْزِى ٱللَّهُ ٱلشَّٰكِرِينَ</x:v>
      </x:c>
      <x:c r="E121" s="60" t="str">
        <x:v>CANDIDATE_DECISIVE</x:v>
      </x:c>
      <x:c r="F121" s="60" t="str">
        <x:v>مرشح عالي القيمة بسبب تنوع المجال أو الصيغة أو المشاركين أو المقابلة؛ يلزم إثبات سبب الحسم في Blind Analysis</x:v>
      </x:c>
      <x:c r="G121" s="60" t="str">
        <x:v>تُحدد الفرضيات التي يختبرها بعد بناء الملفات المحلية المستقلة</x:v>
      </x:c>
      <x:c r="H121" s="60" t="str">
        <x:v>HIGH — candidate</x:v>
      </x:c>
      <x:c r="I121" s="60" t="str">
        <x:v>https://corpus.quran.com/wordbyword.jsp?chapter=3&amp;verse=144</x:v>
      </x:c>
    </x:row>
    <x:row r="122">
      <x:c r="A122" s="60" t="str">
        <x:v>ق ل ب</x:v>
      </x:c>
      <x:c r="B122" s="60" t="str">
        <x:v>P2 — شبكات دلالية مركزية</x:v>
      </x:c>
      <x:c r="C122" s="60" t="str">
        <x:v>18:18</x:v>
      </x:c>
      <x:c r="D122" s="60" t="str">
        <x:v>وَتَحْسَبُهُمْ أَيْقَاظًا وَهُمْ رُقُودٌ وَنُقَلِّبُهُمْ ذَاتَ ٱلْيَمِينِ وَذَاتَ ٱلشِّمَالِ وَكَلْبُهُم بَٰسِطٌ ذِرَاعَيْهِ بِٱلْوَصِيدِ لَوِ ٱطَّلَعْتَ عَلَيْهِمْ لَوَلَّيْتَ مِنْهُمْ فِرَارًا وَلَمُلِئْتَ مِنْهُمْ رُعْبًا</x:v>
      </x:c>
      <x:c r="E122" s="60" t="str">
        <x:v>CANDIDATE_DECISIVE</x:v>
      </x:c>
      <x:c r="F122" s="60" t="str">
        <x:v>مرشح عالي القيمة بسبب تنوع المجال أو الصيغة أو المشاركين أو المقابلة؛ يلزم إثبات سبب الحسم في Blind Analysis</x:v>
      </x:c>
      <x:c r="G122" s="60" t="str">
        <x:v>تُحدد الفرضيات التي يختبرها بعد بناء الملفات المحلية المستقلة</x:v>
      </x:c>
      <x:c r="H122" s="60" t="str">
        <x:v>HIGH — candidate</x:v>
      </x:c>
      <x:c r="I122" s="60" t="str">
        <x:v>https://corpus.quran.com/wordbyword.jsp?chapter=18&amp;verse=18</x:v>
      </x:c>
    </x:row>
    <x:row r="123">
      <x:c r="A123" s="60" t="str">
        <x:v>ص د ق</x:v>
      </x:c>
      <x:c r="B123" s="60" t="str">
        <x:v>P2 — شبكات دلالية مركزية</x:v>
      </x:c>
      <x:c r="C123" s="60" t="str">
        <x:v>33:8</x:v>
      </x:c>
      <x:c r="D123" s="60" t="str">
        <x:v>لِّيَسْـَٔلَ ٱلصَّٰدِقِينَ عَن صِدْقِهِمْ وَأَعَدَّ لِلْكَٰفِرِينَ عَذَابًا أَلِيمًا</x:v>
      </x:c>
      <x:c r="E123" s="60" t="str">
        <x:v>CANDIDATE_DECISIVE</x:v>
      </x:c>
      <x:c r="F123" s="60" t="str">
        <x:v>مرشح عالي القيمة بسبب تنوع المجال أو الصيغة أو المشاركين أو المقابلة؛ يلزم إثبات سبب الحسم في Blind Analysis</x:v>
      </x:c>
      <x:c r="G123" s="60" t="str">
        <x:v>تُحدد الفرضيات التي يختبرها بعد بناء الملفات المحلية المستقلة</x:v>
      </x:c>
      <x:c r="H123" s="60" t="str">
        <x:v>HIGH — candidate</x:v>
      </x:c>
      <x:c r="I123" s="60" t="str">
        <x:v>https://corpus.quran.com/wordbyword.jsp?chapter=33&amp;verse=8</x:v>
      </x:c>
    </x:row>
    <x:row r="124">
      <x:c r="A124" s="60" t="str">
        <x:v>ص د ق</x:v>
      </x:c>
      <x:c r="B124" s="60" t="str">
        <x:v>P2 — شبكات دلالية مركزية</x:v>
      </x:c>
      <x:c r="C124" s="60" t="str">
        <x:v>39:33</x:v>
      </x:c>
      <x:c r="D124" s="60" t="str">
        <x:v>وَٱلَّذِى جَآءَ بِٱلصِّدْقِ وَصَدَّقَ بِهِۦٓ أُو۟لَٰٓئِكَ هُمُ ٱلْمُتَّقُونَ</x:v>
      </x:c>
      <x:c r="E124" s="60" t="str">
        <x:v>CANDIDATE_DECISIVE</x:v>
      </x:c>
      <x:c r="F124" s="60" t="str">
        <x:v>مرشح عالي القيمة بسبب تنوع المجال أو الصيغة أو المشاركين أو المقابلة؛ يلزم إثبات سبب الحسم في Blind Analysis</x:v>
      </x:c>
      <x:c r="G124" s="60" t="str">
        <x:v>تُحدد الفرضيات التي يختبرها بعد بناء الملفات المحلية المستقلة</x:v>
      </x:c>
      <x:c r="H124" s="60" t="str">
        <x:v>HIGH — candidate</x:v>
      </x:c>
      <x:c r="I124" s="60" t="str">
        <x:v>https://corpus.quran.com/wordbyword.jsp?chapter=39&amp;verse=33</x:v>
      </x:c>
    </x:row>
    <x:row r="125">
      <x:c r="A125" s="60" t="str">
        <x:v>ص د ق</x:v>
      </x:c>
      <x:c r="B125" s="60" t="str">
        <x:v>P2 — شبكات دلالية مركزية</x:v>
      </x:c>
      <x:c r="C125" s="60" t="str">
        <x:v>2:177</x:v>
      </x:c>
      <x:c r="D125" s="60" t="str">
        <x:v>لَّيْسَ ٱلْبِرَّ أَن تُوَلُّوا۟ وُجُوهَكُمْ قِبَلَ ٱلْمَشْرِقِ وَٱلْمَغْرِبِ وَلَٰكِنَّ ٱلْبِرَّ مَنْ ءَامَنَ بِٱللَّهِ وَٱلْيَوْمِ ٱلْءَاخِرِ وَٱلْمَلَٰٓئِكَةِ وَٱلْكِتَٰبِ وَٱلنَّبِيِّۦنَ وَءَاتَى ٱلْمَالَ عَلَىٰ حُبِّهِۦ ذَوِى ٱلْقُرْبَىٰ وَٱلْيَتَٰمَىٰ وَٱلْمَسَٰكِينَ وَٱبْنَ ٱلسَّبِيلِ وَٱلسَّآئِلِينَ وَفِى ٱلرِّقَابِ وَأَقَامَ ٱلصَّلَوٰةَ وَءَاتَى ٱلزَّكَوٰةَ وَٱلْمُوفُونَ بِعَهْدِهِمْ إِذَا عَٰهَدُوا۟ وَٱلصَّٰبِرِينَ فِى ٱلْبَأْسَآءِ وَٱلضَّرَّآءِ وَحِينَ ٱلْبَأْسِ أُو۟لَٰٓئِكَ ٱلَّذِ…</x:v>
      </x:c>
      <x:c r="E125" s="60" t="str">
        <x:v>CANDIDATE_DECISIVE</x:v>
      </x:c>
      <x:c r="F125" s="60" t="str">
        <x:v>مرشح عالي القيمة بسبب تنوع المجال أو الصيغة أو المشاركين أو المقابلة؛ يلزم إثبات سبب الحسم في Blind Analysis</x:v>
      </x:c>
      <x:c r="G125" s="60" t="str">
        <x:v>تُحدد الفرضيات التي يختبرها بعد بناء الملفات المحلية المستقلة</x:v>
      </x:c>
      <x:c r="H125" s="60" t="str">
        <x:v>HIGH — candidate</x:v>
      </x:c>
      <x:c r="I125" s="60" t="str">
        <x:v>https://corpus.quran.com/wordbyword.jsp?chapter=2&amp;verse=177</x:v>
      </x:c>
    </x:row>
    <x:row r="126">
      <x:c r="A126" s="60" t="str">
        <x:v>ص د ق</x:v>
      </x:c>
      <x:c r="B126" s="60" t="str">
        <x:v>P2 — شبكات دلالية مركزية</x:v>
      </x:c>
      <x:c r="C126" s="60" t="str">
        <x:v>12:17</x:v>
      </x:c>
      <x:c r="D126" s="60" t="str">
        <x:v>قَالُوا۟ يَٰٓأَبَانَآ إِنَّا ذَهَبْنَا نَسْتَبِقُ وَتَرَكْنَا يُوسُفَ عِندَ مَتَٰعِنَا فَأَكَلَهُ ٱلذِّئْبُ وَمَآ أَنتَ بِمُؤْمِنٍ لَّنَا وَلَوْ كُنَّا صَٰدِقِينَ</x:v>
      </x:c>
      <x:c r="E126" s="60" t="str">
        <x:v>CANDIDATE_DECISIVE</x:v>
      </x:c>
      <x:c r="F126" s="60" t="str">
        <x:v>مرشح عالي القيمة بسبب تنوع المجال أو الصيغة أو المشاركين أو المقابلة؛ يلزم إثبات سبب الحسم في Blind Analysis</x:v>
      </x:c>
      <x:c r="G126" s="60" t="str">
        <x:v>تُحدد الفرضيات التي يختبرها بعد بناء الملفات المحلية المستقلة</x:v>
      </x:c>
      <x:c r="H126" s="60" t="str">
        <x:v>HIGH — candidate</x:v>
      </x:c>
      <x:c r="I126" s="60" t="str">
        <x:v>https://corpus.quran.com/wordbyword.jsp?chapter=12&amp;verse=17</x:v>
      </x:c>
    </x:row>
    <x:row r="127">
      <x:c r="A127" s="60" t="str">
        <x:v>غ ف ر</x:v>
      </x:c>
      <x:c r="B127" s="60" t="str">
        <x:v>P2 — شبكات دلالية مركزية</x:v>
      </x:c>
      <x:c r="C127" s="60" t="str">
        <x:v>71:10</x:v>
      </x:c>
      <x:c r="D127" s="60" t="str">
        <x:v>فَقُلْتُ ٱسْتَغْفِرُوا۟ رَبَّكُمْ إِنَّهُۥ كَانَ غَفَّارًا</x:v>
      </x:c>
      <x:c r="E127" s="60" t="str">
        <x:v>CANDIDATE_DECISIVE</x:v>
      </x:c>
      <x:c r="F127" s="60" t="str">
        <x:v>مرشح عالي القيمة بسبب تنوع المجال أو الصيغة أو المشاركين أو المقابلة؛ يلزم إثبات سبب الحسم في Blind Analysis</x:v>
      </x:c>
      <x:c r="G127" s="60" t="str">
        <x:v>تُحدد الفرضيات التي يختبرها بعد بناء الملفات المحلية المستقلة</x:v>
      </x:c>
      <x:c r="H127" s="60" t="str">
        <x:v>HIGH — candidate</x:v>
      </x:c>
      <x:c r="I127" s="60" t="str">
        <x:v>https://corpus.quran.com/wordbyword.jsp?chapter=71&amp;verse=10</x:v>
      </x:c>
    </x:row>
    <x:row r="128">
      <x:c r="A128" s="60" t="str">
        <x:v>غ ف ر</x:v>
      </x:c>
      <x:c r="B128" s="60" t="str">
        <x:v>P2 — شبكات دلالية مركزية</x:v>
      </x:c>
      <x:c r="C128" s="60" t="str">
        <x:v>2:58</x:v>
      </x:c>
      <x:c r="D128" s="60" t="str">
        <x:v>وَإِذْ قُلْنَا ٱدْخُلُوا۟ هَٰذِهِ ٱلْقَرْيَةَ فَكُلُوا۟ مِنْهَا حَيْثُ شِئْتُمْ رَغَدًا وَٱدْخُلُوا۟ ٱلْبَابَ سُجَّدًا وَقُولُوا۟ حِطَّةٌ نَّغْفِرْ لَكُمْ خَطَٰيَٰكُمْ وَسَنَزِيدُ ٱلْمُحْسِنِينَ</x:v>
      </x:c>
      <x:c r="E128" s="60" t="str">
        <x:v>CANDIDATE_DECISIVE</x:v>
      </x:c>
      <x:c r="F128" s="60" t="str">
        <x:v>مرشح عالي القيمة بسبب تنوع المجال أو الصيغة أو المشاركين أو المقابلة؛ يلزم إثبات سبب الحسم في Blind Analysis</x:v>
      </x:c>
      <x:c r="G128" s="60" t="str">
        <x:v>تُحدد الفرضيات التي يختبرها بعد بناء الملفات المحلية المستقلة</x:v>
      </x:c>
      <x:c r="H128" s="60" t="str">
        <x:v>HIGH — candidate</x:v>
      </x:c>
      <x:c r="I128" s="60" t="str">
        <x:v>https://corpus.quran.com/wordbyword.jsp?chapter=2&amp;verse=58</x:v>
      </x:c>
    </x:row>
    <x:row r="129">
      <x:c r="A129" s="60" t="str">
        <x:v>غ ف ر</x:v>
      </x:c>
      <x:c r="B129" s="60" t="str">
        <x:v>P2 — شبكات دلالية مركزية</x:v>
      </x:c>
      <x:c r="C129" s="60" t="str">
        <x:v>39:53</x:v>
      </x:c>
      <x:c r="D129" s="60" t="str">
        <x:v>قُلْ يَٰعِبَادِىَ ٱلَّذِينَ أَسْرَفُوا۟ عَلَىٰٓ أَنفُسِهِمْ لَا تَقْنَطُوا۟ مِن رَّحْمَةِ ٱللَّهِ إِنَّ ٱللَّهَ يَغْفِرُ ٱلذُّنُوبَ جَمِيعًا إِنَّهُۥ هُوَ ٱلْغَفُورُ ٱلرَّحِيمُ</x:v>
      </x:c>
      <x:c r="E129" s="60" t="str">
        <x:v>CANDIDATE_DECISIVE</x:v>
      </x:c>
      <x:c r="F129" s="60" t="str">
        <x:v>مرشح عالي القيمة بسبب تنوع المجال أو الصيغة أو المشاركين أو المقابلة؛ يلزم إثبات سبب الحسم في Blind Analysis</x:v>
      </x:c>
      <x:c r="G129" s="60" t="str">
        <x:v>تُحدد الفرضيات التي يختبرها بعد بناء الملفات المحلية المستقلة</x:v>
      </x:c>
      <x:c r="H129" s="60" t="str">
        <x:v>HIGH — candidate</x:v>
      </x:c>
      <x:c r="I129" s="60" t="str">
        <x:v>https://corpus.quran.com/wordbyword.jsp?chapter=39&amp;verse=53</x:v>
      </x:c>
    </x:row>
    <x:row r="130">
      <x:c r="A130" s="60" t="str">
        <x:v>غ ف ر</x:v>
      </x:c>
      <x:c r="B130" s="60" t="str">
        <x:v>P2 — شبكات دلالية مركزية</x:v>
      </x:c>
      <x:c r="C130" s="60" t="str">
        <x:v>4:48</x:v>
      </x:c>
      <x:c r="D130" s="60" t="str">
        <x:v>إِنَّ ٱللَّهَ لَا يَغْفِرُ أَن يُشْرَكَ بِهِۦ وَيَغْفِرُ مَا دُونَ ذَٰلِكَ لِمَن يَشَآءُ وَمَن يُشْرِكْ بِٱللَّهِ فَقَدِ ٱفْتَرَىٰٓ إِثْمًا عَظِيمًا</x:v>
      </x:c>
      <x:c r="E130" s="60" t="str">
        <x:v>CANDIDATE_DECISIVE</x:v>
      </x:c>
      <x:c r="F130" s="60" t="str">
        <x:v>مرشح عالي القيمة بسبب تنوع المجال أو الصيغة أو المشاركين أو المقابلة؛ يلزم إثبات سبب الحسم في Blind Analysis</x:v>
      </x:c>
      <x:c r="G130" s="60" t="str">
        <x:v>تُحدد الفرضيات التي يختبرها بعد بناء الملفات المحلية المستقلة</x:v>
      </x:c>
      <x:c r="H130" s="60" t="str">
        <x:v>HIGH — candidate</x:v>
      </x:c>
      <x:c r="I130" s="60" t="str">
        <x:v>https://corpus.quran.com/wordbyword.jsp?chapter=4&amp;verse=48</x:v>
      </x:c>
    </x:row>
    <x:row r="131">
      <x:c r="A131" s="60" t="str">
        <x:v>م و ت</x:v>
      </x:c>
      <x:c r="B131" s="60" t="str">
        <x:v>P2 — شبكات دلالية مركزية</x:v>
      </x:c>
      <x:c r="C131" s="60" t="str">
        <x:v>3:145</x:v>
      </x:c>
      <x:c r="D131" s="60" t="str">
        <x:v>وَمَا كَانَ لِنَفْسٍ أَن تَمُوتَ إِلَّا بِإِذْنِ ٱللَّهِ كِتَٰبًا مُّؤَجَّلًا وَمَن يُرِدْ ثَوَابَ ٱلدُّنْيَا نُؤْتِهِۦ مِنْهَا وَمَن يُرِدْ ثَوَابَ ٱلْءَاخِرَةِ نُؤْتِهِۦ مِنْهَا وَسَنَجْزِى ٱلشَّٰكِرِينَ</x:v>
      </x:c>
      <x:c r="E131" s="60" t="str">
        <x:v>CANDIDATE_DECISIVE</x:v>
      </x:c>
      <x:c r="F131" s="60" t="str">
        <x:v>مرشح عالي القيمة بسبب تنوع المجال أو الصيغة أو المشاركين أو المقابلة؛ يلزم إثبات سبب الحسم في Blind Analysis</x:v>
      </x:c>
      <x:c r="G131" s="60" t="str">
        <x:v>تُحدد الفرضيات التي يختبرها بعد بناء الملفات المحلية المستقلة</x:v>
      </x:c>
      <x:c r="H131" s="60" t="str">
        <x:v>HIGH — candidate</x:v>
      </x:c>
      <x:c r="I131" s="60" t="str">
        <x:v>https://corpus.quran.com/wordbyword.jsp?chapter=3&amp;verse=145</x:v>
      </x:c>
    </x:row>
    <x:row r="132">
      <x:c r="A132" s="60" t="str">
        <x:v>م و ت</x:v>
      </x:c>
      <x:c r="B132" s="60" t="str">
        <x:v>P2 — شبكات دلالية مركزية</x:v>
      </x:c>
      <x:c r="C132" s="60" t="str">
        <x:v>2:28</x:v>
      </x:c>
      <x:c r="D132" s="60" t="str">
        <x:v>كَيْفَ تَكْفُرُونَ بِٱللَّهِ وَكُنتُمْ أَمْوَٰتًا فَأَحْيَٰكُمْ ثُمَّ يُمِيتُكُمْ ثُمَّ يُحْيِيكُمْ ثُمَّ إِلَيْهِ تُرْجَعُونَ</x:v>
      </x:c>
      <x:c r="E132" s="60" t="str">
        <x:v>CANDIDATE_DECISIVE</x:v>
      </x:c>
      <x:c r="F132" s="60" t="str">
        <x:v>مرشح عالي القيمة بسبب تنوع المجال أو الصيغة أو المشاركين أو المقابلة؛ يلزم إثبات سبب الحسم في Blind Analysis</x:v>
      </x:c>
      <x:c r="G132" s="60" t="str">
        <x:v>تُحدد الفرضيات التي يختبرها بعد بناء الملفات المحلية المستقلة</x:v>
      </x:c>
      <x:c r="H132" s="60" t="str">
        <x:v>HIGH — candidate</x:v>
      </x:c>
      <x:c r="I132" s="60" t="str">
        <x:v>https://corpus.quran.com/wordbyword.jsp?chapter=2&amp;verse=28</x:v>
      </x:c>
    </x:row>
    <x:row r="133">
      <x:c r="A133" s="60" t="str">
        <x:v>م و ت</x:v>
      </x:c>
      <x:c r="B133" s="60" t="str">
        <x:v>P2 — شبكات دلالية مركزية</x:v>
      </x:c>
      <x:c r="C133" s="60" t="str">
        <x:v>39:42</x:v>
      </x:c>
      <x:c r="D133" s="60" t="str">
        <x:v>ٱللَّهُ يَتَوَفَّى ٱلْأَنفُسَ حِينَ مَوْتِهَا وَٱلَّتِى لَمْ تَمُتْ فِى مَنَامِهَا فَيُمْسِكُ ٱلَّتِى قَضَىٰ عَلَيْهَا ٱلْمَوْتَ وَيُرْسِلُ ٱلْأُخْرَىٰٓ إِلَىٰٓ أَجَلٍ مُّسَمًّى إِنَّ فِى ذَٰلِكَ لَءَايَٰتٍ لِّقَوْمٍ يَتَفَكَّرُونَ</x:v>
      </x:c>
      <x:c r="E133" s="60" t="str">
        <x:v>CANDIDATE_DECISIVE</x:v>
      </x:c>
      <x:c r="F133" s="60" t="str">
        <x:v>مرشح عالي القيمة بسبب تنوع المجال أو الصيغة أو المشاركين أو المقابلة؛ يلزم إثبات سبب الحسم في Blind Analysis</x:v>
      </x:c>
      <x:c r="G133" s="60" t="str">
        <x:v>تُحدد الفرضيات التي يختبرها بعد بناء الملفات المحلية المستقلة</x:v>
      </x:c>
      <x:c r="H133" s="60" t="str">
        <x:v>HIGH — candidate</x:v>
      </x:c>
      <x:c r="I133" s="60" t="str">
        <x:v>https://corpus.quran.com/wordbyword.jsp?chapter=39&amp;verse=42</x:v>
      </x:c>
    </x:row>
    <x:row r="134">
      <x:c r="A134" s="60" t="str">
        <x:v>م و ت</x:v>
      </x:c>
      <x:c r="B134" s="60" t="str">
        <x:v>P2 — شبكات دلالية مركزية</x:v>
      </x:c>
      <x:c r="C134" s="60" t="str">
        <x:v>67:2</x:v>
      </x:c>
      <x:c r="D134" s="60" t="str">
        <x:v>ٱلَّذِى خَلَقَ ٱلْمَوْتَ وَٱلْحَيَوٰةَ لِيَبْلُوَكُمْ أَيُّكُمْ أَحْسَنُ عَمَلًا وَهُوَ ٱلْعَزِيزُ ٱلْغَفُورُ</x:v>
      </x:c>
      <x:c r="E134" s="60" t="str">
        <x:v>CANDIDATE_DECISIVE</x:v>
      </x:c>
      <x:c r="F134" s="60" t="str">
        <x:v>مرشح عالي القيمة بسبب تنوع المجال أو الصيغة أو المشاركين أو المقابلة؛ يلزم إثبات سبب الحسم في Blind Analysis</x:v>
      </x:c>
      <x:c r="G134" s="60" t="str">
        <x:v>تُحدد الفرضيات التي يختبرها بعد بناء الملفات المحلية المستقلة</x:v>
      </x:c>
      <x:c r="H134" s="60" t="str">
        <x:v>HIGH — candidate</x:v>
      </x:c>
      <x:c r="I134" s="60" t="str">
        <x:v>https://corpus.quran.com/wordbyword.jsp?chapter=67&amp;verse=2</x:v>
      </x:c>
    </x:row>
    <x:row r="135">
      <x:c r="A135" s="60" t="str">
        <x:v>ش ه د</x:v>
      </x:c>
      <x:c r="B135" s="60" t="str">
        <x:v>P2 — شبكات دلالية مركزية</x:v>
      </x:c>
      <x:c r="C135" s="60" t="str">
        <x:v>3:18</x:v>
      </x:c>
      <x:c r="D135" s="60" t="str">
        <x:v>شَهِدَ ٱللَّهُ أَنَّهُۥ لَآ إِلَٰهَ إِلَّا هُوَ وَٱلْمَلَٰٓئِكَةُ وَأُو۟لُوا۟ ٱلْعِلْمِ قَآئِمًۢا بِٱلْقِسْطِ لَآ إِلَٰهَ إِلَّا هُوَ ٱلْعَزِيزُ ٱلْحَكِيمُ</x:v>
      </x:c>
      <x:c r="E135" s="60" t="str">
        <x:v>CANDIDATE_DECISIVE</x:v>
      </x:c>
      <x:c r="F135" s="60" t="str">
        <x:v>مرشح عالي القيمة بسبب تنوع المجال أو الصيغة أو المشاركين أو المقابلة؛ يلزم إثبات سبب الحسم في Blind Analysis</x:v>
      </x:c>
      <x:c r="G135" s="60" t="str">
        <x:v>تُحدد الفرضيات التي يختبرها بعد بناء الملفات المحلية المستقلة</x:v>
      </x:c>
      <x:c r="H135" s="60" t="str">
        <x:v>HIGH — candidate</x:v>
      </x:c>
      <x:c r="I135" s="60" t="str">
        <x:v>https://corpus.quran.com/wordbyword.jsp?chapter=3&amp;verse=18</x:v>
      </x:c>
    </x:row>
    <x:row r="136">
      <x:c r="A136" s="60" t="str">
        <x:v>ش ه د</x:v>
      </x:c>
      <x:c r="B136" s="60" t="str">
        <x:v>P2 — شبكات دلالية مركزية</x:v>
      </x:c>
      <x:c r="C136" s="60" t="str">
        <x:v>2:282</x:v>
      </x:c>
      <x:c r="D136" s="60" t="str">
        <x:v>يَٰٓأَيُّهَا ٱلَّذِينَ ءَامَنُوٓا۟ إِذَا تَدَايَنتُم بِدَيْنٍ إِلَىٰٓ أَجَلٍ مُّسَمًّى فَٱكْتُبُوهُ وَلْيَكْتُب بَّيْنَكُمْ كَاتِبٌۢ بِٱلْعَدْلِ وَلَا يَأْبَ كَاتِبٌ أَن يَكْتُبَ كَمَا عَلَّمَهُ ٱللَّهُ فَلْيَكْتُبْ وَلْيُمْلِلِ ٱلَّذِى عَلَيْهِ ٱلْحَقُّ وَلْيَتَّقِ ٱللَّهَ رَبَّهُۥ وَلَا يَبْخَسْ مِنْهُ شَيْـًٔا فَإِن كَانَ ٱلَّذِى عَلَيْهِ ٱلْحَقُّ سَفِيهًا أَوْ ضَعِيفًا أَوْ لَا يَسْتَطِيعُ أَن يُمِلَّ هُوَ فَلْيُمْلِلْ وَلِيُّهُۥ بِٱلْعَدْلِ وَٱسْتَشْهِدُوا۟ شَهِيدَيْنِ مِن رِّجَالِكُمْ فَإ…</x:v>
      </x:c>
      <x:c r="E136" s="60" t="str">
        <x:v>CANDIDATE_DECISIVE</x:v>
      </x:c>
      <x:c r="F136" s="60" t="str">
        <x:v>مرشح عالي القيمة بسبب تنوع المجال أو الصيغة أو المشاركين أو المقابلة؛ يلزم إثبات سبب الحسم في Blind Analysis</x:v>
      </x:c>
      <x:c r="G136" s="60" t="str">
        <x:v>تُحدد الفرضيات التي يختبرها بعد بناء الملفات المحلية المستقلة</x:v>
      </x:c>
      <x:c r="H136" s="60" t="str">
        <x:v>HIGH — candidate</x:v>
      </x:c>
      <x:c r="I136" s="60" t="str">
        <x:v>https://corpus.quran.com/wordbyword.jsp?chapter=2&amp;verse=282</x:v>
      </x:c>
    </x:row>
    <x:row r="137">
      <x:c r="A137" s="60" t="str">
        <x:v>ش ه د</x:v>
      </x:c>
      <x:c r="B137" s="60" t="str">
        <x:v>P2 — شبكات دلالية مركزية</x:v>
      </x:c>
      <x:c r="C137" s="60" t="str">
        <x:v>12:26</x:v>
      </x:c>
      <x:c r="D137" s="60" t="str">
        <x:v>قَالَ هِىَ رَٰوَدَتْنِى عَن نَّفْسِى وَشَهِدَ شَاهِدٌ مِّنْ أَهْلِهَآ إِن كَانَ قَمِيصُهُۥ قُدَّ مِن قُبُلٍ فَصَدَقَتْ وَهُوَ مِنَ ٱلْكَٰذِبِينَ</x:v>
      </x:c>
      <x:c r="E137" s="60" t="str">
        <x:v>CANDIDATE_DECISIVE</x:v>
      </x:c>
      <x:c r="F137" s="60" t="str">
        <x:v>مرشح عالي القيمة بسبب تنوع المجال أو الصيغة أو المشاركين أو المقابلة؛ يلزم إثبات سبب الحسم في Blind Analysis</x:v>
      </x:c>
      <x:c r="G137" s="60" t="str">
        <x:v>تُحدد الفرضيات التي يختبرها بعد بناء الملفات المحلية المستقلة</x:v>
      </x:c>
      <x:c r="H137" s="60" t="str">
        <x:v>HIGH — candidate</x:v>
      </x:c>
      <x:c r="I137" s="60" t="str">
        <x:v>https://corpus.quran.com/wordbyword.jsp?chapter=12&amp;verse=26</x:v>
      </x:c>
    </x:row>
    <x:row r="138">
      <x:c r="A138" s="60" t="str">
        <x:v>ش ه د</x:v>
      </x:c>
      <x:c r="B138" s="60" t="str">
        <x:v>P2 — شبكات دلالية مركزية</x:v>
      </x:c>
      <x:c r="C138" s="60" t="str">
        <x:v>22:78</x:v>
      </x:c>
      <x:c r="D138" s="60" t="str">
        <x:v>وَجَٰهِدُوا۟ فِى ٱللَّهِ حَقَّ جِهَادِهِۦ هُوَ ٱجْتَبَىٰكُمْ وَمَا جَعَلَ عَلَيْكُمْ فِى ٱلدِّينِ مِنْ حَرَجٍ مِّلَّةَ أَبِيكُمْ إِبْرَٰهِيمَ هُوَ سَمَّىٰكُمُ ٱلْمُسْلِمِينَ مِن قَبْلُ وَفِى هَٰذَا لِيَكُونَ ٱلرَّسُولُ شَهِيدًا عَلَيْكُمْ وَتَكُونُوا۟ شُهَدَآءَ عَلَى ٱلنَّاسِ فَأَقِيمُوا۟ ٱلصَّلَوٰةَ وَءَاتُوا۟ ٱلزَّكَوٰةَ وَٱعْتَصِمُوا۟ بِٱللَّهِ هُوَ مَوْلَىٰكُمْ فَنِعْمَ ٱلْمَوْلَىٰ وَنِعْمَ ٱلنَّصِيرُ</x:v>
      </x:c>
      <x:c r="E138" s="60" t="str">
        <x:v>CANDIDATE_DECISIVE</x:v>
      </x:c>
      <x:c r="F138" s="60" t="str">
        <x:v>مرشح عالي القيمة بسبب تنوع المجال أو الصيغة أو المشاركين أو المقابلة؛ يلزم إثبات سبب الحسم في Blind Analysis</x:v>
      </x:c>
      <x:c r="G138" s="60" t="str">
        <x:v>تُحدد الفرضيات التي يختبرها بعد بناء الملفات المحلية المستقلة</x:v>
      </x:c>
      <x:c r="H138" s="60" t="str">
        <x:v>HIGH — candidate</x:v>
      </x:c>
      <x:c r="I138" s="60" t="str">
        <x:v>https://corpus.quran.com/wordbyword.jsp?chapter=22&amp;verse=78</x:v>
      </x:c>
    </x:row>
    <x:row r="139">
      <x:c r="A139" s="60" t="str">
        <x:v>ح ب ب</x:v>
      </x:c>
      <x:c r="B139" s="60" t="str">
        <x:v>P2 — شبكات دلالية مركزية</x:v>
      </x:c>
      <x:c r="C139" s="60" t="str">
        <x:v>3:31</x:v>
      </x:c>
      <x:c r="D139" s="60" t="str">
        <x:v>قُلْ إِن كُنتُمْ تُحِبُّونَ ٱللَّهَ فَٱتَّبِعُونِى يُحْبِبْكُمُ ٱللَّهُ وَيَغْفِرْ لَكُمْ ذُنُوبَكُمْ وَٱللَّهُ غَفُورٌ رَّحِيمٌ</x:v>
      </x:c>
      <x:c r="E139" s="60" t="str">
        <x:v>CANDIDATE_DECISIVE</x:v>
      </x:c>
      <x:c r="F139" s="60" t="str">
        <x:v>مرشح عالي القيمة بسبب تنوع المجال أو الصيغة أو المشاركين أو المقابلة؛ يلزم إثبات سبب الحسم في Blind Analysis</x:v>
      </x:c>
      <x:c r="G139" s="60" t="str">
        <x:v>تُحدد الفرضيات التي يختبرها بعد بناء الملفات المحلية المستقلة</x:v>
      </x:c>
      <x:c r="H139" s="60" t="str">
        <x:v>HIGH — candidate</x:v>
      </x:c>
      <x:c r="I139" s="60" t="str">
        <x:v>https://corpus.quran.com/wordbyword.jsp?chapter=3&amp;verse=31</x:v>
      </x:c>
    </x:row>
    <x:row r="140">
      <x:c r="A140" s="60" t="str">
        <x:v>ح ب ب</x:v>
      </x:c>
      <x:c r="B140" s="60" t="str">
        <x:v>P2 — شبكات دلالية مركزية</x:v>
      </x:c>
      <x:c r="C140" s="60" t="str">
        <x:v>2:165</x:v>
      </x:c>
      <x:c r="D140" s="60" t="str">
        <x:v>وَمِنَ ٱلنَّاسِ مَن يَتَّخِذُ مِن دُونِ ٱللَّهِ أَندَادًا يُحِبُّونَهُمْ كَحُبِّ ٱللَّهِ وَٱلَّذِينَ ءَامَنُوٓا۟ أَشَدُّ حُبًّا لِّلَّهِ وَلَوْ يَرَى ٱلَّذِينَ ظَلَمُوٓا۟ إِذْ يَرَوْنَ ٱلْعَذَابَ أَنَّ ٱلْقُوَّةَ لِلَّهِ جَمِيعًا وَأَنَّ ٱللَّهَ شَدِيدُ ٱلْعَذَابِ</x:v>
      </x:c>
      <x:c r="E140" s="60" t="str">
        <x:v>CANDIDATE_DECISIVE</x:v>
      </x:c>
      <x:c r="F140" s="60" t="str">
        <x:v>مرشح عالي القيمة بسبب تنوع المجال أو الصيغة أو المشاركين أو المقابلة؛ يلزم إثبات سبب الحسم في Blind Analysis</x:v>
      </x:c>
      <x:c r="G140" s="60" t="str">
        <x:v>تُحدد الفرضيات التي يختبرها بعد بناء الملفات المحلية المستقلة</x:v>
      </x:c>
      <x:c r="H140" s="60" t="str">
        <x:v>HIGH — candidate</x:v>
      </x:c>
      <x:c r="I140" s="60" t="str">
        <x:v>https://corpus.quran.com/wordbyword.jsp?chapter=2&amp;verse=165</x:v>
      </x:c>
    </x:row>
    <x:row r="141">
      <x:c r="A141" s="60" t="str">
        <x:v>ح ب ب</x:v>
      </x:c>
      <x:c r="B141" s="60" t="str">
        <x:v>P2 — شبكات دلالية مركزية</x:v>
      </x:c>
      <x:c r="C141" s="60" t="str">
        <x:v>49:7</x:v>
      </x:c>
      <x:c r="D141" s="60" t="str">
        <x:v>وَٱعْلَمُوٓا۟ أَنَّ فِيكُمْ رَسُولَ ٱللَّهِ لَوْ يُطِيعُكُمْ فِى كَثِيرٍ مِّنَ ٱلْأَمْرِ لَعَنِتُّمْ وَلَٰكِنَّ ٱللَّهَ حَبَّبَ إِلَيْكُمُ ٱلْإِيمَٰنَ وَزَيَّنَهُۥ فِى قُلُوبِكُمْ وَكَرَّهَ إِلَيْكُمُ ٱلْكُفْرَ وَٱلْفُسُوقَ وَٱلْعِصْيَانَ أُو۟لَٰٓئِكَ هُمُ ٱلرَّٰشِدُونَ</x:v>
      </x:c>
      <x:c r="E141" s="60" t="str">
        <x:v>CANDIDATE_DECISIVE</x:v>
      </x:c>
      <x:c r="F141" s="60" t="str">
        <x:v>مرشح عالي القيمة بسبب تنوع المجال أو الصيغة أو المشاركين أو المقابلة؛ يلزم إثبات سبب الحسم في Blind Analysis</x:v>
      </x:c>
      <x:c r="G141" s="60" t="str">
        <x:v>تُحدد الفرضيات التي يختبرها بعد بناء الملفات المحلية المستقلة</x:v>
      </x:c>
      <x:c r="H141" s="60" t="str">
        <x:v>HIGH — candidate</x:v>
      </x:c>
      <x:c r="I141" s="60" t="str">
        <x:v>https://corpus.quran.com/wordbyword.jsp?chapter=49&amp;verse=7</x:v>
      </x:c>
    </x:row>
    <x:row r="142">
      <x:c r="A142" s="60" t="str">
        <x:v>ح ب ب</x:v>
      </x:c>
      <x:c r="B142" s="60" t="str">
        <x:v>P2 — شبكات دلالية مركزية</x:v>
      </x:c>
      <x:c r="C142" s="60" t="str">
        <x:v>14:3</x:v>
      </x:c>
      <x:c r="D142" s="60" t="str">
        <x:v>ٱلَّذِينَ يَسْتَحِبُّونَ ٱلْحَيَوٰةَ ٱلدُّنْيَا عَلَى ٱلْءَاخِرَةِ وَيَصُدُّونَ عَن سَبِيلِ ٱللَّهِ وَيَبْغُونَهَا عِوَجًا أُو۟لَٰٓئِكَ فِى ضَلَٰلٍۭ بَعِيدٍ</x:v>
      </x:c>
      <x:c r="E142" s="60" t="str">
        <x:v>CANDIDATE_DECISIVE</x:v>
      </x:c>
      <x:c r="F142" s="60" t="str">
        <x:v>مرشح عالي القيمة بسبب تنوع المجال أو الصيغة أو المشاركين أو المقابلة؛ يلزم إثبات سبب الحسم في Blind Analysis</x:v>
      </x:c>
      <x:c r="G142" s="60" t="str">
        <x:v>تُحدد الفرضيات التي يختبرها بعد بناء الملفات المحلية المستقلة</x:v>
      </x:c>
      <x:c r="H142" s="60" t="str">
        <x:v>HIGH — candidate</x:v>
      </x:c>
      <x:c r="I142" s="60" t="str">
        <x:v>https://corpus.quran.com/wordbyword.jsp?chapter=14&amp;verse=3</x:v>
      </x:c>
    </x:row>
    <x:row r="143">
      <x:c r="A143" s="60" t="str">
        <x:v>ت و ب</x:v>
      </x:c>
      <x:c r="B143" s="60" t="str">
        <x:v>P2 — شبكات دلالية مركزية</x:v>
      </x:c>
      <x:c r="C143" s="60" t="str">
        <x:v>9:118</x:v>
      </x:c>
      <x:c r="D143" s="60" t="str">
        <x:v>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x:v>
      </x:c>
      <x:c r="E143" s="60" t="str">
        <x:v>CANDIDATE_DECISIVE</x:v>
      </x:c>
      <x:c r="F143" s="60" t="str">
        <x:v>مرشح عالي القيمة بسبب تنوع المجال أو الصيغة أو المشاركين أو المقابلة؛ يلزم إثبات سبب الحسم في Blind Analysis</x:v>
      </x:c>
      <x:c r="G143" s="60" t="str">
        <x:v>تُحدد الفرضيات التي يختبرها بعد بناء الملفات المحلية المستقلة</x:v>
      </x:c>
      <x:c r="H143" s="60" t="str">
        <x:v>HIGH — candidate</x:v>
      </x:c>
      <x:c r="I143" s="60" t="str">
        <x:v>https://corpus.quran.com/wordbyword.jsp?chapter=9&amp;verse=118</x:v>
      </x:c>
    </x:row>
    <x:row r="144">
      <x:c r="A144" s="60" t="str">
        <x:v>ت و ب</x:v>
      </x:c>
      <x:c r="B144" s="60" t="str">
        <x:v>P2 — شبكات دلالية مركزية</x:v>
      </x:c>
      <x:c r="C144" s="60" t="str">
        <x:v>2:37</x:v>
      </x:c>
      <x:c r="D144" s="60" t="str">
        <x:v>فَتَلَقَّىٰٓ ءَادَمُ مِن رَّبِّهِۦ كَلِمَٰتٍ فَتَابَ عَلَيْهِ إِنَّهُۥ هُوَ ٱلتَّوَّابُ ٱلرَّحِيمُ</x:v>
      </x:c>
      <x:c r="E144" s="60" t="str">
        <x:v>CANDIDATE_DECISIVE</x:v>
      </x:c>
      <x:c r="F144" s="60" t="str">
        <x:v>مرشح عالي القيمة بسبب تنوع المجال أو الصيغة أو المشاركين أو المقابلة؛ يلزم إثبات سبب الحسم في Blind Analysis</x:v>
      </x:c>
      <x:c r="G144" s="60" t="str">
        <x:v>تُحدد الفرضيات التي يختبرها بعد بناء الملفات المحلية المستقلة</x:v>
      </x:c>
      <x:c r="H144" s="60" t="str">
        <x:v>HIGH — candidate</x:v>
      </x:c>
      <x:c r="I144" s="60" t="str">
        <x:v>https://corpus.quran.com/wordbyword.jsp?chapter=2&amp;verse=37</x:v>
      </x:c>
    </x:row>
    <x:row r="145">
      <x:c r="A145" s="60" t="str">
        <x:v>ت و ب</x:v>
      </x:c>
      <x:c r="B145" s="60" t="str">
        <x:v>P2 — شبكات دلالية مركزية</x:v>
      </x:c>
      <x:c r="C145" s="60" t="str">
        <x:v>4:17</x:v>
      </x:c>
      <x:c r="D145" s="60" t="str">
        <x:v>إِنَّمَا ٱلتَّوْبَةُ عَلَى ٱللَّهِ لِلَّذِينَ يَعْمَلُونَ ٱلسُّوٓءَ بِجَهَٰلَةٍ ثُمَّ يَتُوبُونَ مِن قَرِيبٍ فَأُو۟لَٰٓئِكَ يَتُوبُ ٱللَّهُ عَلَيْهِمْ وَكَانَ ٱللَّهُ عَلِيمًا حَكِيمًا</x:v>
      </x:c>
      <x:c r="E145" s="60" t="str">
        <x:v>CANDIDATE_DECISIVE</x:v>
      </x:c>
      <x:c r="F145" s="60" t="str">
        <x:v>مرشح عالي القيمة بسبب تنوع المجال أو الصيغة أو المشاركين أو المقابلة؛ يلزم إثبات سبب الحسم في Blind Analysis</x:v>
      </x:c>
      <x:c r="G145" s="60" t="str">
        <x:v>تُحدد الفرضيات التي يختبرها بعد بناء الملفات المحلية المستقلة</x:v>
      </x:c>
      <x:c r="H145" s="60" t="str">
        <x:v>HIGH — candidate</x:v>
      </x:c>
      <x:c r="I145" s="60" t="str">
        <x:v>https://corpus.quran.com/wordbyword.jsp?chapter=4&amp;verse=17</x:v>
      </x:c>
    </x:row>
    <x:row r="146">
      <x:c r="A146" s="60" t="str">
        <x:v>ت و ب</x:v>
      </x:c>
      <x:c r="B146" s="60" t="str">
        <x:v>P2 — شبكات دلالية مركزية</x:v>
      </x:c>
      <x:c r="C146" s="60" t="str">
        <x:v>11:3</x:v>
      </x:c>
      <x:c r="D146" s="60" t="str">
        <x:v>وَأَنِ ٱسْتَغْفِرُوا۟ رَبَّكُمْ ثُمَّ تُوبُوٓا۟ إِلَيْهِ يُمَتِّعْكُم مَّتَٰعًا حَسَنًا إِلَىٰٓ أَجَلٍ مُّسَمًّى وَيُؤْتِ كُلَّ ذِى فَضْلٍ فَضْلَهُۥ وَإِن تَوَلَّوْا۟ فَإِنِّىٓ أَخَافُ عَلَيْكُمْ عَذَابَ يَوْمٍ كَبِيرٍ</x:v>
      </x:c>
      <x:c r="E146" s="60" t="str">
        <x:v>CANDIDATE_DECISIVE</x:v>
      </x:c>
      <x:c r="F146" s="60" t="str">
        <x:v>مرشح عالي القيمة بسبب تنوع المجال أو الصيغة أو المشاركين أو المقابلة؛ يلزم إثبات سبب الحسم في Blind Analysis</x:v>
      </x:c>
      <x:c r="G146" s="60" t="str">
        <x:v>تُحدد الفرضيات التي يختبرها بعد بناء الملفات المحلية المستقلة</x:v>
      </x:c>
      <x:c r="H146" s="60" t="str">
        <x:v>HIGH — candidate</x:v>
      </x:c>
      <x:c r="I146" s="60" t="str">
        <x:v>https://corpus.quran.com/wordbyword.jsp?chapter=11&amp;verse=3</x:v>
      </x:c>
    </x:row>
    <x:row r="147">
      <x:c r="A147" s="60" t="str">
        <x:v>ر ض و (رضي)</x:v>
      </x:c>
      <x:c r="B147" s="60" t="str">
        <x:v>P2 — شبكات دلالية مركزية</x:v>
      </x:c>
      <x:c r="C147" s="60" t="str">
        <x:v>5:119</x:v>
      </x:c>
      <x:c r="D147" s="60" t="str">
        <x:v>قَالَ ٱللَّهُ هَٰذَا يَوْمُ يَنفَعُ ٱلصَّٰدِقِينَ صِدْقُهُمْ لَهُمْ جَنَّٰتٌ تَجْرِى مِن تَحْتِهَا ٱلْأَنْهَٰرُ خَٰلِدِينَ فِيهَآ أَبَدًا رَّضِىَ ٱللَّهُ عَنْهُمْ وَرَضُوا۟ عَنْهُ ذَٰلِكَ ٱلْفَوْزُ ٱلْعَظِيمُ</x:v>
      </x:c>
      <x:c r="E147" s="60" t="str">
        <x:v>CANDIDATE_DECISIVE</x:v>
      </x:c>
      <x:c r="F147" s="60" t="str">
        <x:v>مرشح عالي القيمة بسبب تنوع المجال أو الصيغة أو المشاركين أو المقابلة؛ يلزم إثبات سبب الحسم في Blind Analysis</x:v>
      </x:c>
      <x:c r="G147" s="60" t="str">
        <x:v>تُحدد الفرضيات التي يختبرها بعد بناء الملفات المحلية المستقلة</x:v>
      </x:c>
      <x:c r="H147" s="60" t="str">
        <x:v>HIGH — candidate</x:v>
      </x:c>
      <x:c r="I147" s="60" t="str">
        <x:v>https://corpus.quran.com/wordbyword.jsp?chapter=5&amp;verse=119</x:v>
      </x:c>
    </x:row>
    <x:row r="148">
      <x:c r="A148" s="60" t="str">
        <x:v>ر ض و (رضي)</x:v>
      </x:c>
      <x:c r="B148" s="60" t="str">
        <x:v>P2 — شبكات دلالية مركزية</x:v>
      </x:c>
      <x:c r="C148" s="60" t="str">
        <x:v>9:96</x:v>
      </x:c>
      <x:c r="D148" s="60" t="str">
        <x:v>يَحْلِفُونَ لَكُمْ لِتَرْضَوْا۟ عَنْهُمْ فَإِن تَرْضَوْا۟ عَنْهُمْ فَإِنَّ ٱللَّهَ لَا يَرْضَىٰ عَنِ ٱلْقَوْمِ ٱلْفَٰسِقِينَ</x:v>
      </x:c>
      <x:c r="E148" s="60" t="str">
        <x:v>CANDIDATE_DECISIVE</x:v>
      </x:c>
      <x:c r="F148" s="60" t="str">
        <x:v>مرشح عالي القيمة بسبب تنوع المجال أو الصيغة أو المشاركين أو المقابلة؛ يلزم إثبات سبب الحسم في Blind Analysis</x:v>
      </x:c>
      <x:c r="G148" s="60" t="str">
        <x:v>تُحدد الفرضيات التي يختبرها بعد بناء الملفات المحلية المستقلة</x:v>
      </x:c>
      <x:c r="H148" s="60" t="str">
        <x:v>HIGH — candidate</x:v>
      </x:c>
      <x:c r="I148" s="60" t="str">
        <x:v>https://corpus.quran.com/wordbyword.jsp?chapter=9&amp;verse=96</x:v>
      </x:c>
    </x:row>
    <x:row r="149">
      <x:c r="A149" s="60" t="str">
        <x:v>ر ض و (رضي)</x:v>
      </x:c>
      <x:c r="B149" s="60" t="str">
        <x:v>P2 — شبكات دلالية مركزية</x:v>
      </x:c>
      <x:c r="C149" s="60" t="str">
        <x:v>20:109</x:v>
      </x:c>
      <x:c r="D149" s="60" t="str">
        <x:v>يَوْمَئِذٍ لَّا تَنفَعُ ٱلشَّفَٰعَةُ إِلَّا مَنْ أَذِنَ لَهُ ٱلرَّحْمَٰنُ وَرَضِىَ لَهُۥ قَوْلًا</x:v>
      </x:c>
      <x:c r="E149" s="60" t="str">
        <x:v>CANDIDATE_DECISIVE</x:v>
      </x:c>
      <x:c r="F149" s="60" t="str">
        <x:v>مرشح عالي القيمة بسبب تنوع المجال أو الصيغة أو المشاركين أو المقابلة؛ يلزم إثبات سبب الحسم في Blind Analysis</x:v>
      </x:c>
      <x:c r="G149" s="60" t="str">
        <x:v>تُحدد الفرضيات التي يختبرها بعد بناء الملفات المحلية المستقلة</x:v>
      </x:c>
      <x:c r="H149" s="60" t="str">
        <x:v>HIGH — candidate</x:v>
      </x:c>
      <x:c r="I149" s="60" t="str">
        <x:v>https://corpus.quran.com/wordbyword.jsp?chapter=20&amp;verse=109</x:v>
      </x:c>
    </x:row>
    <x:row r="150">
      <x:c r="A150" s="60" t="str">
        <x:v>ر ض و (رضي)</x:v>
      </x:c>
      <x:c r="B150" s="60" t="str">
        <x:v>P2 — شبكات دلالية مركزية</x:v>
      </x:c>
      <x:c r="C150" s="60" t="str">
        <x:v>89:28</x:v>
      </x:c>
      <x:c r="D150" s="60" t="str">
        <x:v>ٱرْجِعِىٓ إِلَىٰ رَبِّكِ رَاضِيَةً مَّرْضِيَّةً</x:v>
      </x:c>
      <x:c r="E150" s="60" t="str">
        <x:v>CANDIDATE_DECISIVE</x:v>
      </x:c>
      <x:c r="F150" s="60" t="str">
        <x:v>مرشح عالي القيمة بسبب تنوع المجال أو الصيغة أو المشاركين أو المقابلة؛ يلزم إثبات سبب الحسم في Blind Analysis</x:v>
      </x:c>
      <x:c r="G150" s="60" t="str">
        <x:v>تُحدد الفرضيات التي يختبرها بعد بناء الملفات المحلية المستقلة</x:v>
      </x:c>
      <x:c r="H150" s="60" t="str">
        <x:v>HIGH — candidate</x:v>
      </x:c>
      <x:c r="I150" s="60" t="str">
        <x:v>https://corpus.quran.com/wordbyword.jsp?chapter=89&amp;verse=28</x:v>
      </x:c>
    </x:row>
    <x:row r="151">
      <x:c r="A151" s="60" t="str">
        <x:v>ع ر ف</x:v>
      </x:c>
      <x:c r="B151" s="60" t="str">
        <x:v>P2 — شبكات دلالية مركزية</x:v>
      </x:c>
      <x:c r="C151" s="60" t="str">
        <x:v>2:89</x:v>
      </x:c>
      <x:c r="D151" s="60" t="str">
        <x:v>وَلَمَّا جَآءَهُمْ كِتَٰبٌ مِّنْ عِندِ ٱللَّهِ مُصَدِّقٌ لِّمَا مَعَهُمْ وَكَانُوا۟ مِن قَبْلُ يَسْتَفْتِحُونَ عَلَى ٱلَّذِينَ كَفَرُوا۟ فَلَمَّا جَآءَهُم مَّا عَرَفُوا۟ كَفَرُوا۟ بِهِۦ فَلَعْنَةُ ٱللَّهِ عَلَى ٱلْكَٰفِرِينَ</x:v>
      </x:c>
      <x:c r="E151" s="60" t="str">
        <x:v>CANDIDATE_DECISIVE</x:v>
      </x:c>
      <x:c r="F151" s="60" t="str">
        <x:v>مرشح عالي القيمة بسبب تنوع المجال أو الصيغة أو المشاركين أو المقابلة؛ يلزم إثبات سبب الحسم في Blind Analysis</x:v>
      </x:c>
      <x:c r="G151" s="60" t="str">
        <x:v>تُحدد الفرضيات التي يختبرها بعد بناء الملفات المحلية المستقلة</x:v>
      </x:c>
      <x:c r="H151" s="60" t="str">
        <x:v>HIGH — candidate</x:v>
      </x:c>
      <x:c r="I151" s="60" t="str">
        <x:v>https://corpus.quran.com/wordbyword.jsp?chapter=2&amp;verse=89</x:v>
      </x:c>
    </x:row>
    <x:row r="152">
      <x:c r="A152" s="60" t="str">
        <x:v>ع ر ف</x:v>
      </x:c>
      <x:c r="B152" s="60" t="str">
        <x:v>P2 — شبكات دلالية مركزية</x:v>
      </x:c>
      <x:c r="C152" s="60" t="str">
        <x:v>49:13</x:v>
      </x:c>
      <x:c r="D152" s="60" t="str">
        <x:v>يَٰٓأَيُّهَا ٱلنَّاسُ إِنَّا خَلَقْنَٰكُم مِّن ذَكَرٍ وَأُنثَىٰ وَجَعَلْنَٰكُمْ شُعُوبًا وَقَبَآئِلَ لِتَعَارَفُوٓا۟ إِنَّ أَكْرَمَكُمْ عِندَ ٱللَّهِ أَتْقَىٰكُمْ إِنَّ ٱللَّهَ عَلِيمٌ خَبِيرٌ</x:v>
      </x:c>
      <x:c r="E152" s="60" t="str">
        <x:v>CANDIDATE_DECISIVE</x:v>
      </x:c>
      <x:c r="F152" s="60" t="str">
        <x:v>مرشح عالي القيمة بسبب تنوع المجال أو الصيغة أو المشاركين أو المقابلة؛ يلزم إثبات سبب الحسم في Blind Analysis</x:v>
      </x:c>
      <x:c r="G152" s="60" t="str">
        <x:v>تُحدد الفرضيات التي يختبرها بعد بناء الملفات المحلية المستقلة</x:v>
      </x:c>
      <x:c r="H152" s="60" t="str">
        <x:v>HIGH — candidate</x:v>
      </x:c>
      <x:c r="I152" s="60" t="str">
        <x:v>https://corpus.quran.com/wordbyword.jsp?chapter=49&amp;verse=13</x:v>
      </x:c>
    </x:row>
    <x:row r="153">
      <x:c r="A153" s="60" t="str">
        <x:v>ع ر ف</x:v>
      </x:c>
      <x:c r="B153" s="60" t="str">
        <x:v>P2 — شبكات دلالية مركزية</x:v>
      </x:c>
      <x:c r="C153" s="60" t="str">
        <x:v>47:6</x:v>
      </x:c>
      <x:c r="D153" s="60" t="str">
        <x:v>وَيُدْخِلُهُمُ ٱلْجَنَّةَ عَرَّفَهَا لَهُمْ</x:v>
      </x:c>
      <x:c r="E153" s="60" t="str">
        <x:v>CANDIDATE_DECISIVE</x:v>
      </x:c>
      <x:c r="F153" s="60" t="str">
        <x:v>مرشح عالي القيمة بسبب تنوع المجال أو الصيغة أو المشاركين أو المقابلة؛ يلزم إثبات سبب الحسم في Blind Analysis</x:v>
      </x:c>
      <x:c r="G153" s="60" t="str">
        <x:v>تُحدد الفرضيات التي يختبرها بعد بناء الملفات المحلية المستقلة</x:v>
      </x:c>
      <x:c r="H153" s="60" t="str">
        <x:v>HIGH — candidate</x:v>
      </x:c>
      <x:c r="I153" s="60" t="str">
        <x:v>https://corpus.quran.com/wordbyword.jsp?chapter=47&amp;verse=6</x:v>
      </x:c>
    </x:row>
    <x:row r="154">
      <x:c r="A154" s="60" t="str">
        <x:v>ع ر ف</x:v>
      </x:c>
      <x:c r="B154" s="60" t="str">
        <x:v>P2 — شبكات دلالية مركزية</x:v>
      </x:c>
      <x:c r="C154" s="60" t="str">
        <x:v>7:46</x:v>
      </x:c>
      <x:c r="D154" s="60" t="str">
        <x:v>وَبَيْنَهُمَا حِجَابٌ وَعَلَى ٱلْأَعْرَافِ رِجَالٌ يَعْرِفُونَ كُلًّۢا بِسِيمَىٰهُمْ وَنَادَوْا۟ أَصْحَٰبَ ٱلْجَنَّةِ أَن سَلَٰمٌ عَلَيْكُمْ لَمْ يَدْخُلُوهَا وَهُمْ يَطْمَعُونَ</x:v>
      </x:c>
      <x:c r="E154" s="60" t="str">
        <x:v>CANDIDATE_DECISIVE</x:v>
      </x:c>
      <x:c r="F154" s="60" t="str">
        <x:v>مرشح عالي القيمة بسبب تنوع المجال أو الصيغة أو المشاركين أو المقابلة؛ يلزم إثبات سبب الحسم في Blind Analysis</x:v>
      </x:c>
      <x:c r="G154" s="60" t="str">
        <x:v>تُحدد الفرضيات التي يختبرها بعد بناء الملفات المحلية المستقلة</x:v>
      </x:c>
      <x:c r="H154" s="60" t="str">
        <x:v>HIGH — candidate</x:v>
      </x:c>
      <x:c r="I154" s="60" t="str">
        <x:v>https://corpus.quran.com/wordbyword.jsp?chapter=7&amp;verse=46</x:v>
      </x:c>
    </x:row>
    <x:row r="155">
      <x:c r="A155" s="60" t="str">
        <x:v>ر و ح</x:v>
      </x:c>
      <x:c r="B155" s="60" t="str">
        <x:v>P2 — شبكات دلالية مركزية</x:v>
      </x:c>
      <x:c r="C155" s="60" t="str">
        <x:v>15:29</x:v>
      </x:c>
      <x:c r="D155" s="60" t="str">
        <x:v>فَإِذَا سَوَّيْتُهُۥ وَنَفَخْتُ فِيهِ مِن رُّوحِى فَقَعُوا۟ لَهُۥ سَٰجِدِينَ</x:v>
      </x:c>
      <x:c r="E155" s="60" t="str">
        <x:v>CANDIDATE_DECISIVE</x:v>
      </x:c>
      <x:c r="F155" s="60" t="str">
        <x:v>مرشح عالي القيمة بسبب تنوع المجال أو الصيغة أو المشاركين أو المقابلة؛ يلزم إثبات سبب الحسم في Blind Analysis</x:v>
      </x:c>
      <x:c r="G155" s="60" t="str">
        <x:v>تُحدد الفرضيات التي يختبرها بعد بناء الملفات المحلية المستقلة</x:v>
      </x:c>
      <x:c r="H155" s="60" t="str">
        <x:v>HIGH — candidate</x:v>
      </x:c>
      <x:c r="I155" s="60" t="str">
        <x:v>https://corpus.quran.com/wordbyword.jsp?chapter=15&amp;verse=29</x:v>
      </x:c>
    </x:row>
    <x:row r="156">
      <x:c r="A156" s="60" t="str">
        <x:v>ر و ح</x:v>
      </x:c>
      <x:c r="B156" s="60" t="str">
        <x:v>P2 — شبكات دلالية مركزية</x:v>
      </x:c>
      <x:c r="C156" s="60" t="str">
        <x:v>17:85</x:v>
      </x:c>
      <x:c r="D156" s="60" t="str">
        <x:v>وَيَسْـَٔلُونَكَ عَنِ ٱلرُّوحِ قُلِ ٱلرُّوحُ مِنْ أَمْرِ رَبِّى وَمَآ أُوتِيتُم مِّنَ ٱلْعِلْمِ إِلَّا قَلِيلًا</x:v>
      </x:c>
      <x:c r="E156" s="60" t="str">
        <x:v>CANDIDATE_DECISIVE</x:v>
      </x:c>
      <x:c r="F156" s="60" t="str">
        <x:v>مرشح عالي القيمة بسبب تنوع المجال أو الصيغة أو المشاركين أو المقابلة؛ يلزم إثبات سبب الحسم في Blind Analysis</x:v>
      </x:c>
      <x:c r="G156" s="60" t="str">
        <x:v>تُحدد الفرضيات التي يختبرها بعد بناء الملفات المحلية المستقلة</x:v>
      </x:c>
      <x:c r="H156" s="60" t="str">
        <x:v>HIGH — candidate</x:v>
      </x:c>
      <x:c r="I156" s="60" t="str">
        <x:v>https://corpus.quran.com/wordbyword.jsp?chapter=17&amp;verse=85</x:v>
      </x:c>
    </x:row>
    <x:row r="157">
      <x:c r="A157" s="60" t="str">
        <x:v>ر و ح</x:v>
      </x:c>
      <x:c r="B157" s="60" t="str">
        <x:v>P2 — شبكات دلالية مركزية</x:v>
      </x:c>
      <x:c r="C157" s="60" t="str">
        <x:v>12:87</x:v>
      </x:c>
      <x:c r="D157" s="60" t="str">
        <x:v>يَٰبَنِىَّ ٱذْهَبُوا۟ فَتَحَسَّسُوا۟ مِن يُوسُفَ وَأَخِيهِ وَلَا تَا۟يْـَٔسُوا۟ مِن رَّوْحِ ٱللَّهِ إِنَّهُۥ لَا يَا۟يْـَٔسُ مِن رَّوْحِ ٱللَّهِ إِلَّا ٱلْقَوْمُ ٱلْكَٰفِرُونَ</x:v>
      </x:c>
      <x:c r="E157" s="60" t="str">
        <x:v>CANDIDATE_DECISIVE</x:v>
      </x:c>
      <x:c r="F157" s="60" t="str">
        <x:v>مرشح عالي القيمة بسبب تنوع المجال أو الصيغة أو المشاركين أو المقابلة؛ يلزم إثبات سبب الحسم في Blind Analysis</x:v>
      </x:c>
      <x:c r="G157" s="60" t="str">
        <x:v>تُحدد الفرضيات التي يختبرها بعد بناء الملفات المحلية المستقلة</x:v>
      </x:c>
      <x:c r="H157" s="60" t="str">
        <x:v>HIGH — candidate</x:v>
      </x:c>
      <x:c r="I157" s="60" t="str">
        <x:v>https://corpus.quran.com/wordbyword.jsp?chapter=12&amp;verse=87</x:v>
      </x:c>
    </x:row>
    <x:row r="158">
      <x:c r="A158" s="60" t="str">
        <x:v>ر و ح</x:v>
      </x:c>
      <x:c r="B158" s="60" t="str">
        <x:v>P2 — شبكات دلالية مركزية</x:v>
      </x:c>
      <x:c r="C158" s="60" t="str">
        <x:v>58:22</x:v>
      </x:c>
      <x:c r="D158" s="60" t="str">
        <x:v>لَّا تَجِدُ قَوْمًا يُؤْمِنُونَ بِٱللَّهِ وَٱلْيَوْمِ ٱلْءَاخِرِ يُوَآدُّونَ مَنْ حَآدَّ ٱللَّهَ وَرَسُولَهُۥ وَلَوْ كَانُوٓا۟ ءَابَآءَهُمْ أَوْ أَبْنَآءَهُمْ أَوْ إِخْوَٰنَهُمْ أَوْ عَشِيرَتَهُمْ أُو۟لَٰٓئِكَ كَتَبَ فِى قُلُوبِهِمُ ٱلْإِيمَٰنَ وَأَيَّدَهُم بِرُوحٍ مِّنْهُ وَيُدْخِلُهُمْ جَنَّٰتٍ تَجْرِى مِن تَحْتِهَا ٱلْأَنْهَٰرُ خَٰلِدِينَ فِيهَا رَضِىَ ٱللَّهُ عَنْهُمْ وَرَضُوا۟ عَنْهُ أُو۟لَٰٓئِكَ حِزْبُ ٱللَّهِ أَلَآ إِنَّ حِزْبَ ٱللَّهِ هُمُ ٱلْمُفْلِحُونَ</x:v>
      </x:c>
      <x:c r="E158" s="60" t="str">
        <x:v>CANDIDATE_DECISIVE</x:v>
      </x:c>
      <x:c r="F158" s="60" t="str">
        <x:v>مرشح عالي القيمة بسبب تنوع المجال أو الصيغة أو المشاركين أو المقابلة؛ يلزم إثبات سبب الحسم في Blind Analysis</x:v>
      </x:c>
      <x:c r="G158" s="60" t="str">
        <x:v>تُحدد الفرضيات التي يختبرها بعد بناء الملفات المحلية المستقلة</x:v>
      </x:c>
      <x:c r="H158" s="60" t="str">
        <x:v>HIGH — candidate</x:v>
      </x:c>
      <x:c r="I158" s="60" t="str">
        <x:v>https://corpus.quran.com/wordbyword.jsp?chapter=58&amp;verse=22</x:v>
      </x:c>
    </x:row>
    <x:row r="159">
      <x:c r="A159" s="60" t="str">
        <x:v>ك ر ه</x:v>
      </x:c>
      <x:c r="B159" s="60" t="str">
        <x:v>P2 — شبكات دلالية مركزية</x:v>
      </x:c>
      <x:c r="C159" s="60" t="str">
        <x:v>2:216</x:v>
      </x:c>
      <x:c r="D159" s="60" t="str">
        <x:v>كُتِبَ عَلَيْكُمُ ٱلْقِتَالُ وَهُوَ كُرْهٌ لَّكُمْ وَعَسَىٰٓ أَن تَكْرَهُوا۟ شَيْـًٔا وَهُوَ خَيْرٌ لَّكُمْ وَعَسَىٰٓ أَن تُحِبُّوا۟ شَيْـًٔا وَهُوَ شَرٌّ لَّكُمْ وَٱللَّهُ يَعْلَمُ وَأَنتُمْ لَا تَعْلَمُونَ</x:v>
      </x:c>
      <x:c r="E159" s="60" t="str">
        <x:v>CANDIDATE_DECISIVE</x:v>
      </x:c>
      <x:c r="F159" s="60" t="str">
        <x:v>مرشح عالي القيمة بسبب تنوع المجال أو الصيغة أو المشاركين أو المقابلة؛ يلزم إثبات سبب الحسم في Blind Analysis</x:v>
      </x:c>
      <x:c r="G159" s="60" t="str">
        <x:v>تُحدد الفرضيات التي يختبرها بعد بناء الملفات المحلية المستقلة</x:v>
      </x:c>
      <x:c r="H159" s="60" t="str">
        <x:v>HIGH — candidate</x:v>
      </x:c>
      <x:c r="I159" s="60" t="str">
        <x:v>https://corpus.quran.com/wordbyword.jsp?chapter=2&amp;verse=216</x:v>
      </x:c>
    </x:row>
    <x:row r="160">
      <x:c r="A160" s="60" t="str">
        <x:v>ك ر ه</x:v>
      </x:c>
      <x:c r="B160" s="60" t="str">
        <x:v>P2 — شبكات دلالية مركزية</x:v>
      </x:c>
      <x:c r="C160" s="60" t="str">
        <x:v>49:7</x:v>
      </x:c>
      <x:c r="D160" s="60" t="str">
        <x:v>وَٱعْلَمُوٓا۟ أَنَّ فِيكُمْ رَسُولَ ٱللَّهِ لَوْ يُطِيعُكُمْ فِى كَثِيرٍ مِّنَ ٱلْأَمْرِ لَعَنِتُّمْ وَلَٰكِنَّ ٱللَّهَ حَبَّبَ إِلَيْكُمُ ٱلْإِيمَٰنَ وَزَيَّنَهُۥ فِى قُلُوبِكُمْ وَكَرَّهَ إِلَيْكُمُ ٱلْكُفْرَ وَٱلْفُسُوقَ وَٱلْعِصْيَانَ أُو۟لَٰٓئِكَ هُمُ ٱلرَّٰشِدُونَ</x:v>
      </x:c>
      <x:c r="E160" s="60" t="str">
        <x:v>CANDIDATE_DECISIVE</x:v>
      </x:c>
      <x:c r="F160" s="60" t="str">
        <x:v>مرشح عالي القيمة بسبب تنوع المجال أو الصيغة أو المشاركين أو المقابلة؛ يلزم إثبات سبب الحسم في Blind Analysis</x:v>
      </x:c>
      <x:c r="G160" s="60" t="str">
        <x:v>تُحدد الفرضيات التي يختبرها بعد بناء الملفات المحلية المستقلة</x:v>
      </x:c>
      <x:c r="H160" s="60" t="str">
        <x:v>HIGH — candidate</x:v>
      </x:c>
      <x:c r="I160" s="60" t="str">
        <x:v>https://corpus.quran.com/wordbyword.jsp?chapter=49&amp;verse=7</x:v>
      </x:c>
    </x:row>
    <x:row r="161">
      <x:c r="A161" s="60" t="str">
        <x:v>ك ر ه</x:v>
      </x:c>
      <x:c r="B161" s="60" t="str">
        <x:v>P2 — شبكات دلالية مركزية</x:v>
      </x:c>
      <x:c r="C161" s="60" t="str">
        <x:v>16:106</x:v>
      </x:c>
      <x:c r="D161" s="60" t="str">
        <x:v>مَن كَفَرَ بِٱللَّهِ مِنۢ بَعْدِ إِيمَٰنِهِۦٓ إِلَّا مَنْ أُكْرِهَ وَقَلْبُهُۥ مُطْمَئِنٌّۢ بِٱلْإِيمَٰنِ وَلَٰكِن مَّن شَرَحَ بِٱلْكُفْرِ صَدْرًا فَعَلَيْهِمْ غَضَبٌ مِّنَ ٱللَّهِ وَلَهُمْ عَذَابٌ عَظِيمٌ</x:v>
      </x:c>
      <x:c r="E161" s="60" t="str">
        <x:v>CANDIDATE_DECISIVE</x:v>
      </x:c>
      <x:c r="F161" s="60" t="str">
        <x:v>مرشح عالي القيمة بسبب تنوع المجال أو الصيغة أو المشاركين أو المقابلة؛ يلزم إثبات سبب الحسم في Blind Analysis</x:v>
      </x:c>
      <x:c r="G161" s="60" t="str">
        <x:v>تُحدد الفرضيات التي يختبرها بعد بناء الملفات المحلية المستقلة</x:v>
      </x:c>
      <x:c r="H161" s="60" t="str">
        <x:v>HIGH — candidate</x:v>
      </x:c>
      <x:c r="I161" s="60" t="str">
        <x:v>https://corpus.quran.com/wordbyword.jsp?chapter=16&amp;verse=106</x:v>
      </x:c>
    </x:row>
    <x:row r="162">
      <x:c r="A162" s="60" t="str">
        <x:v>ك ر ه</x:v>
      </x:c>
      <x:c r="B162" s="60" t="str">
        <x:v>P2 — شبكات دلالية مركزية</x:v>
      </x:c>
      <x:c r="C162" s="60" t="str">
        <x:v>9:46</x:v>
      </x:c>
      <x:c r="D162" s="60" t="str">
        <x:v>وَلَوْ أَرَادُوا۟ ٱلْخُرُوجَ لَأَعَدُّوا۟ لَهُۥ عُدَّةً وَلَٰكِن كَرِهَ ٱللَّهُ ٱنۢبِعَاثَهُمْ فَثَبَّطَهُمْ وَقِيلَ ٱقْعُدُوا۟ مَعَ ٱلْقَٰعِدِينَ</x:v>
      </x:c>
      <x:c r="E162" s="60" t="str">
        <x:v>CANDIDATE_DECISIVE</x:v>
      </x:c>
      <x:c r="F162" s="60" t="str">
        <x:v>مرشح عالي القيمة بسبب تنوع المجال أو الصيغة أو المشاركين أو المقابلة؛ يلزم إثبات سبب الحسم في Blind Analysis</x:v>
      </x:c>
      <x:c r="G162" s="60" t="str">
        <x:v>تُحدد الفرضيات التي يختبرها بعد بناء الملفات المحلية المستقلة</x:v>
      </x:c>
      <x:c r="H162" s="60" t="str">
        <x:v>HIGH — candidate</x:v>
      </x:c>
      <x:c r="I162" s="60" t="str">
        <x:v>https://corpus.quran.com/wordbyword.jsp?chapter=9&amp;verse=46</x:v>
      </x:c>
    </x:row>
    <x:row r="163">
      <x:c r="A163" s="60" t="str">
        <x:v>ع ف و</x:v>
      </x:c>
      <x:c r="B163" s="60" t="str">
        <x:v>P2 — شبكات دلالية مركزية</x:v>
      </x:c>
      <x:c r="C163" s="60" t="str">
        <x:v>2:219</x:v>
      </x:c>
      <x:c r="D163" s="60" t="str">
        <x:v>يَسْـَٔلُونَكَ عَنِ ٱلْخَمْرِ وَٱلْمَيْسِرِ قُلْ فِيهِمَآ إِثْمٌ كَبِيرٌ وَمَنَٰفِعُ لِلنَّاسِ وَإِثْمُهُمَآ أَكْبَرُ مِن نَّفْعِهِمَا وَيَسْـَٔلُونَكَ مَاذَا يُنفِقُونَ قُلِ ٱلْعَفْوَ كَذَٰلِكَ يُبَيِّنُ ٱللَّهُ لَكُمُ ٱلْءَايَٰتِ لَعَلَّكُمْ تَتَفَكَّرُونَ</x:v>
      </x:c>
      <x:c r="E163" s="60" t="str">
        <x:v>CANDIDATE_DECISIVE</x:v>
      </x:c>
      <x:c r="F163" s="60" t="str">
        <x:v>مرشح عالي القيمة بسبب تنوع المجال أو الصيغة أو المشاركين أو المقابلة؛ يلزم إثبات سبب الحسم في Blind Analysis</x:v>
      </x:c>
      <x:c r="G163" s="60" t="str">
        <x:v>تُحدد الفرضيات التي يختبرها بعد بناء الملفات المحلية المستقلة</x:v>
      </x:c>
      <x:c r="H163" s="60" t="str">
        <x:v>HIGH — candidate</x:v>
      </x:c>
      <x:c r="I163" s="60" t="str">
        <x:v>https://corpus.quran.com/wordbyword.jsp?chapter=2&amp;verse=219</x:v>
      </x:c>
    </x:row>
    <x:row r="164">
      <x:c r="A164" s="60" t="str">
        <x:v>ع ف و</x:v>
      </x:c>
      <x:c r="B164" s="60" t="str">
        <x:v>P2 — شبكات دلالية مركزية</x:v>
      </x:c>
      <x:c r="C164" s="60" t="str">
        <x:v>4:149</x:v>
      </x:c>
      <x:c r="D164" s="60" t="str">
        <x:v>إِن تُبْدُوا۟ خَيْرًا أَوْ تُخْفُوهُ أَوْ تَعْفُوا۟ عَن سُوٓءٍ فَإِنَّ ٱللَّهَ كَانَ عَفُوًّا قَدِيرًا</x:v>
      </x:c>
      <x:c r="E164" s="60" t="str">
        <x:v>CANDIDATE_DECISIVE</x:v>
      </x:c>
      <x:c r="F164" s="60" t="str">
        <x:v>مرشح عالي القيمة بسبب تنوع المجال أو الصيغة أو المشاركين أو المقابلة؛ يلزم إثبات سبب الحسم في Blind Analysis</x:v>
      </x:c>
      <x:c r="G164" s="60" t="str">
        <x:v>تُحدد الفرضيات التي يختبرها بعد بناء الملفات المحلية المستقلة</x:v>
      </x:c>
      <x:c r="H164" s="60" t="str">
        <x:v>HIGH — candidate</x:v>
      </x:c>
      <x:c r="I164" s="60" t="str">
        <x:v>https://corpus.quran.com/wordbyword.jsp?chapter=4&amp;verse=149</x:v>
      </x:c>
    </x:row>
    <x:row r="165">
      <x:c r="A165" s="60" t="str">
        <x:v>ع ف و</x:v>
      </x:c>
      <x:c r="B165" s="60" t="str">
        <x:v>P2 — شبكات دلالية مركزية</x:v>
      </x:c>
      <x:c r="C165" s="60" t="str">
        <x:v>42:40</x:v>
      </x:c>
      <x:c r="D165" s="60" t="str">
        <x:v>وَجَزَٰٓؤُا۟ سَيِّئَةٍ سَيِّئَةٌ مِّثْلُهَا فَمَنْ عَفَا وَأَصْلَحَ فَأَجْرُهُۥ عَلَى ٱللَّهِ إِنَّهُۥ لَا يُحِبُّ ٱلظَّٰلِمِينَ</x:v>
      </x:c>
      <x:c r="E165" s="60" t="str">
        <x:v>CANDIDATE_DECISIVE</x:v>
      </x:c>
      <x:c r="F165" s="60" t="str">
        <x:v>مرشح عالي القيمة بسبب تنوع المجال أو الصيغة أو المشاركين أو المقابلة؛ يلزم إثبات سبب الحسم في Blind Analysis</x:v>
      </x:c>
      <x:c r="G165" s="60" t="str">
        <x:v>تُحدد الفرضيات التي يختبرها بعد بناء الملفات المحلية المستقلة</x:v>
      </x:c>
      <x:c r="H165" s="60" t="str">
        <x:v>HIGH — candidate</x:v>
      </x:c>
      <x:c r="I165" s="60" t="str">
        <x:v>https://corpus.quran.com/wordbyword.jsp?chapter=42&amp;verse=40</x:v>
      </x:c>
    </x:row>
    <x:row r="166">
      <x:c r="A166" s="60" t="str">
        <x:v>ع ف و</x:v>
      </x:c>
      <x:c r="B166" s="60" t="str">
        <x:v>P2 — شبكات دلالية مركزية</x:v>
      </x:c>
      <x:c r="C166" s="60" t="str">
        <x:v>5:15</x:v>
      </x:c>
      <x:c r="D166" s="60" t="str">
        <x:v>يَٰٓأَهْلَ ٱلْكِتَٰبِ قَدْ جَآءَكُمْ رَسُولُنَا يُبَيِّنُ لَكُمْ كَثِيرًا مِّمَّا كُنتُمْ تُخْفُونَ مِنَ ٱلْكِتَٰبِ وَيَعْفُوا۟ عَن كَثِيرٍ قَدْ جَآءَكُم مِّنَ ٱللَّهِ نُورٌ وَكِتَٰبٌ مُّبِينٌ</x:v>
      </x:c>
      <x:c r="E166" s="60" t="str">
        <x:v>CANDIDATE_DECISIVE</x:v>
      </x:c>
      <x:c r="F166" s="60" t="str">
        <x:v>مرشح عالي القيمة بسبب تنوع المجال أو الصيغة أو المشاركين أو المقابلة؛ يلزم إثبات سبب الحسم في Blind Analysis</x:v>
      </x:c>
      <x:c r="G166" s="60" t="str">
        <x:v>تُحدد الفرضيات التي يختبرها بعد بناء الملفات المحلية المستقلة</x:v>
      </x:c>
      <x:c r="H166" s="60" t="str">
        <x:v>HIGH — candidate</x:v>
      </x:c>
      <x:c r="I166" s="60" t="str">
        <x:v>https://corpus.quran.com/wordbyword.jsp?chapter=5&amp;verse=15</x:v>
      </x:c>
    </x:row>
    <x:row r="167">
      <x:c r="A167" s="60" t="str">
        <x:v>ع ق ل</x:v>
      </x:c>
      <x:c r="B167" s="60" t="str">
        <x:v>P2 — شبكات دلالية مركزية</x:v>
      </x:c>
      <x:c r="C167" s="60" t="str">
        <x:v>2:44</x:v>
      </x:c>
      <x:c r="D167" s="60" t="str">
        <x:v>أَتَأْمُرُونَ ٱلنَّاسَ بِٱلْبِرِّ وَتَنسَوْنَ أَنفُسَكُمْ وَأَنتُمْ تَتْلُونَ ٱلْكِتَٰبَ أَفَلَا تَعْقِلُونَ</x:v>
      </x:c>
      <x:c r="E167" s="60" t="str">
        <x:v>CANDIDATE_DECISIVE</x:v>
      </x:c>
      <x:c r="F167" s="60" t="str">
        <x:v>مرشح عالي القيمة بسبب تنوع المجال أو الصيغة أو المشاركين أو المقابلة؛ يلزم إثبات سبب الحسم في Blind Analysis</x:v>
      </x:c>
      <x:c r="G167" s="60" t="str">
        <x:v>تُحدد الفرضيات التي يختبرها بعد بناء الملفات المحلية المستقلة</x:v>
      </x:c>
      <x:c r="H167" s="60" t="str">
        <x:v>HIGH — candidate</x:v>
      </x:c>
      <x:c r="I167" s="60" t="str">
        <x:v>https://corpus.quran.com/wordbyword.jsp?chapter=2&amp;verse=44</x:v>
      </x:c>
    </x:row>
    <x:row r="168">
      <x:c r="A168" s="60" t="str">
        <x:v>ع ق ل</x:v>
      </x:c>
      <x:c r="B168" s="60" t="str">
        <x:v>P2 — شبكات دلالية مركزية</x:v>
      </x:c>
      <x:c r="C168" s="60" t="str">
        <x:v>22:46</x:v>
      </x:c>
      <x:c r="D168" s="60" t="str">
        <x:v>أَفَلَمْ يَسِيرُوا۟ فِى ٱلْأَرْضِ فَتَكُونَ لَهُمْ قُلُوبٌ يَعْقِلُونَ بِهَآ أَوْ ءَاذَانٌ يَسْمَعُونَ بِهَا فَإِنَّهَا لَا تَعْمَى ٱلْأَبْصَٰرُ وَلَٰكِن تَعْمَى ٱلْقُلُوبُ ٱلَّتِى فِى ٱلصُّدُورِ</x:v>
      </x:c>
      <x:c r="E168" s="60" t="str">
        <x:v>CANDIDATE_DECISIVE</x:v>
      </x:c>
      <x:c r="F168" s="60" t="str">
        <x:v>مرشح عالي القيمة بسبب تنوع المجال أو الصيغة أو المشاركين أو المقابلة؛ يلزم إثبات سبب الحسم في Blind Analysis</x:v>
      </x:c>
      <x:c r="G168" s="60" t="str">
        <x:v>تُحدد الفرضيات التي يختبرها بعد بناء الملفات المحلية المستقلة</x:v>
      </x:c>
      <x:c r="H168" s="60" t="str">
        <x:v>HIGH — candidate</x:v>
      </x:c>
      <x:c r="I168" s="60" t="str">
        <x:v>https://corpus.quran.com/wordbyword.jsp?chapter=22&amp;verse=46</x:v>
      </x:c>
    </x:row>
    <x:row r="169">
      <x:c r="A169" s="60" t="str">
        <x:v>ع ق ل</x:v>
      </x:c>
      <x:c r="B169" s="60" t="str">
        <x:v>P2 — شبكات دلالية مركزية</x:v>
      </x:c>
      <x:c r="C169" s="60" t="str">
        <x:v>67:10</x:v>
      </x:c>
      <x:c r="D169" s="60" t="str">
        <x:v>وَقَالُوا۟ لَوْ كُنَّا نَسْمَعُ أَوْ نَعْقِلُ مَا كُنَّا فِىٓ أَصْحَٰبِ ٱلسَّعِيرِ</x:v>
      </x:c>
      <x:c r="E169" s="60" t="str">
        <x:v>CANDIDATE_DECISIVE</x:v>
      </x:c>
      <x:c r="F169" s="60" t="str">
        <x:v>مرشح عالي القيمة بسبب تنوع المجال أو الصيغة أو المشاركين أو المقابلة؛ يلزم إثبات سبب الحسم في Blind Analysis</x:v>
      </x:c>
      <x:c r="G169" s="60" t="str">
        <x:v>تُحدد الفرضيات التي يختبرها بعد بناء الملفات المحلية المستقلة</x:v>
      </x:c>
      <x:c r="H169" s="60" t="str">
        <x:v>HIGH — candidate</x:v>
      </x:c>
      <x:c r="I169" s="60" t="str">
        <x:v>https://corpus.quran.com/wordbyword.jsp?chapter=67&amp;verse=10</x:v>
      </x:c>
    </x:row>
    <x:row r="170">
      <x:c r="A170" s="60" t="str">
        <x:v>ع ق ل</x:v>
      </x:c>
      <x:c r="B170" s="60" t="str">
        <x:v>P2 — شبكات دلالية مركزية</x:v>
      </x:c>
      <x:c r="C170" s="60" t="str">
        <x:v>29:43</x:v>
      </x:c>
      <x:c r="D170" s="60" t="str">
        <x:v>وَتِلْكَ ٱلْأَمْثَٰلُ نَضْرِبُهَا لِلنَّاسِ وَمَا يَعْقِلُهَآ إِلَّا ٱلْعَٰلِمُونَ</x:v>
      </x:c>
      <x:c r="E170" s="60" t="str">
        <x:v>CANDIDATE_DECISIVE</x:v>
      </x:c>
      <x:c r="F170" s="60" t="str">
        <x:v>مرشح عالي القيمة بسبب تنوع المجال أو الصيغة أو المشاركين أو المقابلة؛ يلزم إثبات سبب الحسم في Blind Analysis</x:v>
      </x:c>
      <x:c r="G170" s="60" t="str">
        <x:v>تُحدد الفرضيات التي يختبرها بعد بناء الملفات المحلية المستقلة</x:v>
      </x:c>
      <x:c r="H170" s="60" t="str">
        <x:v>HIGH — candidate</x:v>
      </x:c>
      <x:c r="I170" s="60" t="str">
        <x:v>https://corpus.quran.com/wordbyword.jsp?chapter=29&amp;verse=43</x:v>
      </x:c>
    </x:row>
    <x:row r="171">
      <x:c r="A171" s="60" t="str">
        <x:v>ب ع د</x:v>
      </x:c>
      <x:c r="B171" s="60" t="str">
        <x:v>P3 — جذور تفريق واختبار</x:v>
      </x:c>
      <x:c r="C171" s="60" t="str">
        <x:v>11:44</x:v>
      </x:c>
      <x:c r="D171" s="60" t="str">
        <x:v>وَقِيلَ يَٰٓأَرْضُ ٱبْلَعِى مَآءَكِ وَيَٰسَمَآءُ أَقْلِعِى وَغِيضَ ٱلْمَآءُ وَقُضِىَ ٱلْأَمْرُ وَٱسْتَوَتْ عَلَى ٱلْجُودِىِّ وَقِيلَ بُعْدًا لِّلْقَوْمِ ٱلظَّٰلِمِينَ</x:v>
      </x:c>
      <x:c r="E171" s="60" t="str">
        <x:v>CANDIDATE_DECISIVE</x:v>
      </x:c>
      <x:c r="F171" s="60" t="str">
        <x:v>مرشح عالي القيمة بسبب تنوع المجال أو الصيغة أو المشاركين أو المقابلة؛ يلزم إثبات سبب الحسم في Blind Analysis</x:v>
      </x:c>
      <x:c r="G171" s="60" t="str">
        <x:v>تُحدد الفرضيات التي يختبرها بعد بناء الملفات المحلية المستقلة</x:v>
      </x:c>
      <x:c r="H171" s="60" t="str">
        <x:v>HIGH — candidate</x:v>
      </x:c>
      <x:c r="I171" s="60" t="str">
        <x:v>https://corpus.quran.com/wordbyword.jsp?chapter=11&amp;verse=44</x:v>
      </x:c>
    </x:row>
    <x:row r="172">
      <x:c r="A172" s="60" t="str">
        <x:v>ب ع د</x:v>
      </x:c>
      <x:c r="B172" s="60" t="str">
        <x:v>P3 — جذور تفريق واختبار</x:v>
      </x:c>
      <x:c r="C172" s="60" t="str">
        <x:v>50:31</x:v>
      </x:c>
      <x:c r="D172" s="60" t="str">
        <x:v>وَأُزْلِفَتِ ٱلْجَنَّةُ لِلْمُتَّقِينَ غَيْرَ بَعِيدٍ</x:v>
      </x:c>
      <x:c r="E172" s="60" t="str">
        <x:v>CANDIDATE_DECISIVE</x:v>
      </x:c>
      <x:c r="F172" s="60" t="str">
        <x:v>مرشح عالي القيمة بسبب تنوع المجال أو الصيغة أو المشاركين أو المقابلة؛ يلزم إثبات سبب الحسم في Blind Analysis</x:v>
      </x:c>
      <x:c r="G172" s="60" t="str">
        <x:v>تُحدد الفرضيات التي يختبرها بعد بناء الملفات المحلية المستقلة</x:v>
      </x:c>
      <x:c r="H172" s="60" t="str">
        <x:v>HIGH — candidate</x:v>
      </x:c>
      <x:c r="I172" s="60" t="str">
        <x:v>https://corpus.quran.com/wordbyword.jsp?chapter=50&amp;verse=31</x:v>
      </x:c>
    </x:row>
    <x:row r="173">
      <x:c r="A173" s="60" t="str">
        <x:v>ب ع د</x:v>
      </x:c>
      <x:c r="B173" s="60" t="str">
        <x:v>P3 — جذور تفريق واختبار</x:v>
      </x:c>
      <x:c r="C173" s="60" t="str">
        <x:v>14:3</x:v>
      </x:c>
      <x:c r="D173" s="60" t="str">
        <x:v>ٱلَّذِينَ يَسْتَحِبُّونَ ٱلْحَيَوٰةَ ٱلدُّنْيَا عَلَى ٱلْءَاخِرَةِ وَيَصُدُّونَ عَن سَبِيلِ ٱللَّهِ وَيَبْغُونَهَا عِوَجًا أُو۟لَٰٓئِكَ فِى ضَلَٰلٍۭ بَعِيدٍ</x:v>
      </x:c>
      <x:c r="E173" s="60" t="str">
        <x:v>CANDIDATE_DECISIVE</x:v>
      </x:c>
      <x:c r="F173" s="60" t="str">
        <x:v>مرشح عالي القيمة بسبب تنوع المجال أو الصيغة أو المشاركين أو المقابلة؛ يلزم إثبات سبب الحسم في Blind Analysis</x:v>
      </x:c>
      <x:c r="G173" s="60" t="str">
        <x:v>تُحدد الفرضيات التي يختبرها بعد بناء الملفات المحلية المستقلة</x:v>
      </x:c>
      <x:c r="H173" s="60" t="str">
        <x:v>HIGH — candidate</x:v>
      </x:c>
      <x:c r="I173" s="60" t="str">
        <x:v>https://corpus.quran.com/wordbyword.jsp?chapter=14&amp;verse=3</x:v>
      </x:c>
    </x:row>
    <x:row r="174">
      <x:c r="A174" s="60" t="str">
        <x:v>ب ع د</x:v>
      </x:c>
      <x:c r="B174" s="60" t="str">
        <x:v>P3 — جذور تفريق واختبار</x:v>
      </x:c>
      <x:c r="C174" s="60" t="str">
        <x:v>21:109</x:v>
      </x:c>
      <x:c r="D174" s="60" t="str">
        <x:v>فَإِن تَوَلَّوْا۟ فَقُلْ ءَاذَنتُكُمْ عَلَىٰ سَوَآءٍ وَإِنْ أَدْرِىٓ أَقَرِيبٌ أَم بَعِيدٌ مَّا تُوعَدُونَ</x:v>
      </x:c>
      <x:c r="E174" s="60" t="str">
        <x:v>CANDIDATE_DECISIVE</x:v>
      </x:c>
      <x:c r="F174" s="60" t="str">
        <x:v>مرشح عالي القيمة بسبب تنوع المجال أو الصيغة أو المشاركين أو المقابلة؛ يلزم إثبات سبب الحسم في Blind Analysis</x:v>
      </x:c>
      <x:c r="G174" s="60" t="str">
        <x:v>تُحدد الفرضيات التي يختبرها بعد بناء الملفات المحلية المستقلة</x:v>
      </x:c>
      <x:c r="H174" s="60" t="str">
        <x:v>HIGH — candidate</x:v>
      </x:c>
      <x:c r="I174" s="60" t="str">
        <x:v>https://corpus.quran.com/wordbyword.jsp?chapter=21&amp;verse=109</x:v>
      </x:c>
    </x:row>
    <x:row r="175">
      <x:c r="A175" s="60" t="str">
        <x:v>ج م ع</x:v>
      </x:c>
      <x:c r="B175" s="60" t="str">
        <x:v>P3 — جذور تفريق واختبار</x:v>
      </x:c>
      <x:c r="C175" s="60" t="str">
        <x:v>6:12</x:v>
      </x:c>
      <x:c r="D175" s="60" t="str">
        <x:v>قُل لِّمَن مَّا فِى ٱلسَّمَٰوَٰتِ وَٱلْأَرْضِ قُل لِّلَّهِ كَتَبَ عَلَىٰ نَفْسِهِ ٱلرَّحْمَةَ لَيَجْمَعَنَّكُمْ إِلَىٰ يَوْمِ ٱلْقِيَٰمَةِ لَا رَيْبَ فِيهِ ٱلَّذِينَ خَسِرُوٓا۟ أَنفُسَهُمْ فَهُمْ لَا يُؤْمِنُونَ</x:v>
      </x:c>
      <x:c r="E175" s="60" t="str">
        <x:v>CANDIDATE_DECISIVE</x:v>
      </x:c>
      <x:c r="F175" s="60" t="str">
        <x:v>مرشح عالي القيمة بسبب تنوع المجال أو الصيغة أو المشاركين أو المقابلة؛ يلزم إثبات سبب الحسم في Blind Analysis</x:v>
      </x:c>
      <x:c r="G175" s="60" t="str">
        <x:v>تُحدد الفرضيات التي يختبرها بعد بناء الملفات المحلية المستقلة</x:v>
      </x:c>
      <x:c r="H175" s="60" t="str">
        <x:v>HIGH — candidate</x:v>
      </x:c>
      <x:c r="I175" s="60" t="str">
        <x:v>https://corpus.quran.com/wordbyword.jsp?chapter=6&amp;verse=12</x:v>
      </x:c>
    </x:row>
    <x:row r="176">
      <x:c r="A176" s="60" t="str">
        <x:v>ج م ع</x:v>
      </x:c>
      <x:c r="B176" s="60" t="str">
        <x:v>P3 — جذور تفريق واختبار</x:v>
      </x:c>
      <x:c r="C176" s="60" t="str">
        <x:v>3:103</x:v>
      </x:c>
      <x:c r="D176" s="60" t="str">
        <x:v>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x:v>
      </x:c>
      <x:c r="E176" s="60" t="str">
        <x:v>CANDIDATE_DECISIVE</x:v>
      </x:c>
      <x:c r="F176" s="60" t="str">
        <x:v>مرشح عالي القيمة بسبب تنوع المجال أو الصيغة أو المشاركين أو المقابلة؛ يلزم إثبات سبب الحسم في Blind Analysis</x:v>
      </x:c>
      <x:c r="G176" s="60" t="str">
        <x:v>تُحدد الفرضيات التي يختبرها بعد بناء الملفات المحلية المستقلة</x:v>
      </x:c>
      <x:c r="H176" s="60" t="str">
        <x:v>HIGH — candidate</x:v>
      </x:c>
      <x:c r="I176" s="60" t="str">
        <x:v>https://corpus.quran.com/wordbyword.jsp?chapter=3&amp;verse=103</x:v>
      </x:c>
    </x:row>
    <x:row r="177">
      <x:c r="A177" s="60" t="str">
        <x:v>ج م ع</x:v>
      </x:c>
      <x:c r="B177" s="60" t="str">
        <x:v>P3 — جذور تفريق واختبار</x:v>
      </x:c>
      <x:c r="C177" s="60" t="str">
        <x:v>75:17</x:v>
      </x:c>
      <x:c r="D177" s="60" t="str">
        <x:v>إِنَّ عَلَيْنَا جَمْعَهُۥ وَقُرْءَانَهُۥ</x:v>
      </x:c>
      <x:c r="E177" s="60" t="str">
        <x:v>CANDIDATE_DECISIVE</x:v>
      </x:c>
      <x:c r="F177" s="60" t="str">
        <x:v>مرشح عالي القيمة بسبب تنوع المجال أو الصيغة أو المشاركين أو المقابلة؛ يلزم إثبات سبب الحسم في Blind Analysis</x:v>
      </x:c>
      <x:c r="G177" s="60" t="str">
        <x:v>تُحدد الفرضيات التي يختبرها بعد بناء الملفات المحلية المستقلة</x:v>
      </x:c>
      <x:c r="H177" s="60" t="str">
        <x:v>HIGH — candidate</x:v>
      </x:c>
      <x:c r="I177" s="60" t="str">
        <x:v>https://corpus.quran.com/wordbyword.jsp?chapter=75&amp;verse=17</x:v>
      </x:c>
    </x:row>
    <x:row r="178">
      <x:c r="A178" s="60" t="str">
        <x:v>ج م ع</x:v>
      </x:c>
      <x:c r="B178" s="60" t="str">
        <x:v>P3 — جذور تفريق واختبار</x:v>
      </x:c>
      <x:c r="C178" s="60" t="str">
        <x:v>18:61</x:v>
      </x:c>
      <x:c r="D178" s="60" t="str">
        <x:v>فَلَمَّا بَلَغَا مَجْمَعَ بَيْنِهِمَا نَسِيَا حُوتَهُمَا فَٱتَّخَذَ سَبِيلَهُۥ فِى ٱلْبَحْرِ سَرَبًا</x:v>
      </x:c>
      <x:c r="E178" s="60" t="str">
        <x:v>CANDIDATE_DECISIVE</x:v>
      </x:c>
      <x:c r="F178" s="60" t="str">
        <x:v>مرشح عالي القيمة بسبب تنوع المجال أو الصيغة أو المشاركين أو المقابلة؛ يلزم إثبات سبب الحسم في Blind Analysis</x:v>
      </x:c>
      <x:c r="G178" s="60" t="str">
        <x:v>تُحدد الفرضيات التي يختبرها بعد بناء الملفات المحلية المستقلة</x:v>
      </x:c>
      <x:c r="H178" s="60" t="str">
        <x:v>HIGH — candidate</x:v>
      </x:c>
      <x:c r="I178" s="60" t="str">
        <x:v>https://corpus.quran.com/wordbyword.jsp?chapter=18&amp;verse=61</x:v>
      </x:c>
    </x:row>
    <x:row r="179">
      <x:c r="A179" s="60" t="str">
        <x:v>ق ر ب</x:v>
      </x:c>
      <x:c r="B179" s="60" t="str">
        <x:v>P3 — جذور تفريق واختبار</x:v>
      </x:c>
      <x:c r="C179" s="60" t="str">
        <x:v>2:35</x:v>
      </x:c>
      <x:c r="D179" s="60" t="str">
        <x:v>وَقُلْنَا يَٰٓـَٔادَمُ ٱسْكُنْ أَنتَ وَزَوْجُكَ ٱلْجَنَّةَ وَكُلَا مِنْهَا رَغَدًا حَيْثُ شِئْتُمَا وَلَا تَقْرَبَا هَٰذِهِ ٱلشَّجَرَةَ فَتَكُونَا مِنَ ٱلظَّٰلِمِينَ</x:v>
      </x:c>
      <x:c r="E179" s="60" t="str">
        <x:v>CANDIDATE_DECISIVE</x:v>
      </x:c>
      <x:c r="F179" s="60" t="str">
        <x:v>مرشح عالي القيمة بسبب تنوع المجال أو الصيغة أو المشاركين أو المقابلة؛ يلزم إثبات سبب الحسم في Blind Analysis</x:v>
      </x:c>
      <x:c r="G179" s="60" t="str">
        <x:v>تُحدد الفرضيات التي يختبرها بعد بناء الملفات المحلية المستقلة</x:v>
      </x:c>
      <x:c r="H179" s="60" t="str">
        <x:v>HIGH — candidate</x:v>
      </x:c>
      <x:c r="I179" s="60" t="str">
        <x:v>https://corpus.quran.com/wordbyword.jsp?chapter=2&amp;verse=35</x:v>
      </x:c>
    </x:row>
    <x:row r="180">
      <x:c r="A180" s="60" t="str">
        <x:v>ق ر ب</x:v>
      </x:c>
      <x:c r="B180" s="60" t="str">
        <x:v>P3 — جذور تفريق واختبار</x:v>
      </x:c>
      <x:c r="C180" s="60" t="str">
        <x:v>17:32</x:v>
      </x:c>
      <x:c r="D180" s="60" t="str">
        <x:v>وَلَا تَقْرَبُوا۟ ٱلزِّنَىٰٓ إِنَّهُۥ كَانَ فَٰحِشَةً وَسَآءَ سَبِيلًا</x:v>
      </x:c>
      <x:c r="E180" s="60" t="str">
        <x:v>CANDIDATE_DECISIVE</x:v>
      </x:c>
      <x:c r="F180" s="60" t="str">
        <x:v>مرشح عالي القيمة بسبب تنوع المجال أو الصيغة أو المشاركين أو المقابلة؛ يلزم إثبات سبب الحسم في Blind Analysis</x:v>
      </x:c>
      <x:c r="G180" s="60" t="str">
        <x:v>تُحدد الفرضيات التي يختبرها بعد بناء الملفات المحلية المستقلة</x:v>
      </x:c>
      <x:c r="H180" s="60" t="str">
        <x:v>HIGH — candidate</x:v>
      </x:c>
      <x:c r="I180" s="60" t="str">
        <x:v>https://corpus.quran.com/wordbyword.jsp?chapter=17&amp;verse=32</x:v>
      </x:c>
    </x:row>
    <x:row r="181">
      <x:c r="A181" s="60" t="str">
        <x:v>ق ر ب</x:v>
      </x:c>
      <x:c r="B181" s="60" t="str">
        <x:v>P3 — جذور تفريق واختبار</x:v>
      </x:c>
      <x:c r="C181" s="60" t="str">
        <x:v>50:16</x:v>
      </x:c>
      <x:c r="D181" s="60" t="str">
        <x:v>وَلَقَدْ خَلَقْنَا ٱلْإِنسَٰنَ وَنَعْلَمُ مَا تُوَسْوِسُ بِهِۦ نَفْسُهُۥ وَنَحْنُ أَقْرَبُ إِلَيْهِ مِنْ حَبْلِ ٱلْوَرِيدِ</x:v>
      </x:c>
      <x:c r="E181" s="60" t="str">
        <x:v>CANDIDATE_DECISIVE</x:v>
      </x:c>
      <x:c r="F181" s="60" t="str">
        <x:v>مرشح عالي القيمة بسبب تنوع المجال أو الصيغة أو المشاركين أو المقابلة؛ يلزم إثبات سبب الحسم في Blind Analysis</x:v>
      </x:c>
      <x:c r="G181" s="60" t="str">
        <x:v>تُحدد الفرضيات التي يختبرها بعد بناء الملفات المحلية المستقلة</x:v>
      </x:c>
      <x:c r="H181" s="60" t="str">
        <x:v>HIGH — candidate</x:v>
      </x:c>
      <x:c r="I181" s="60" t="str">
        <x:v>https://corpus.quran.com/wordbyword.jsp?chapter=50&amp;verse=16</x:v>
      </x:c>
    </x:row>
    <x:row r="182">
      <x:c r="A182" s="60" t="str">
        <x:v>ق ر ب</x:v>
      </x:c>
      <x:c r="B182" s="60" t="str">
        <x:v>P3 — جذور تفريق واختبار</x:v>
      </x:c>
      <x:c r="C182" s="60" t="str">
        <x:v>5:27</x:v>
      </x:c>
      <x:c r="D182" s="60" t="str">
        <x:v>وَٱتْلُ عَلَيْهِمْ نَبَأَ ٱبْنَىْ ءَادَمَ بِٱلْحَقِّ إِذْ قَرَّبَا قُرْبَانًا فَتُقُبِّلَ مِنْ أَحَدِهِمَا وَلَمْ يُتَقَبَّلْ مِنَ ٱلْءَاخَرِ قَالَ لَأَقْتُلَنَّكَ قَالَ إِنَّمَا يَتَقَبَّلُ ٱللَّهُ مِنَ ٱلْمُتَّقِينَ</x:v>
      </x:c>
      <x:c r="E182" s="60" t="str">
        <x:v>CANDIDATE_DECISIVE</x:v>
      </x:c>
      <x:c r="F182" s="60" t="str">
        <x:v>مرشح عالي القيمة بسبب تنوع المجال أو الصيغة أو المشاركين أو المقابلة؛ يلزم إثبات سبب الحسم في Blind Analysis</x:v>
      </x:c>
      <x:c r="G182" s="60" t="str">
        <x:v>تُحدد الفرضيات التي يختبرها بعد بناء الملفات المحلية المستقلة</x:v>
      </x:c>
      <x:c r="H182" s="60" t="str">
        <x:v>HIGH — candidate</x:v>
      </x:c>
      <x:c r="I182" s="60" t="str">
        <x:v>https://corpus.quran.com/wordbyword.jsp?chapter=5&amp;verse=27</x:v>
      </x:c>
    </x:row>
    <x:row r="183">
      <x:c r="A183" s="60" t="str">
        <x:v>ع ر ض</x:v>
      </x:c>
      <x:c r="B183" s="60" t="str">
        <x:v>P3 — جذور تفريق واختبار</x:v>
      </x:c>
      <x:c r="C183" s="60" t="str">
        <x:v>4:128</x:v>
      </x:c>
      <x:c r="D183" s="60" t="str">
        <x:v>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x:v>
      </x:c>
      <x:c r="E183" s="60" t="str">
        <x:v>CANDIDATE_DECISIVE</x:v>
      </x:c>
      <x:c r="F183" s="60" t="str">
        <x:v>مرشح عالي القيمة بسبب تنوع المجال أو الصيغة أو المشاركين أو المقابلة؛ يلزم إثبات سبب الحسم في Blind Analysis</x:v>
      </x:c>
      <x:c r="G183" s="60" t="str">
        <x:v>تُحدد الفرضيات التي يختبرها بعد بناء الملفات المحلية المستقلة</x:v>
      </x:c>
      <x:c r="H183" s="60" t="str">
        <x:v>HIGH — candidate</x:v>
      </x:c>
      <x:c r="I183" s="60" t="str">
        <x:v>https://corpus.quran.com/wordbyword.jsp?chapter=4&amp;verse=128</x:v>
      </x:c>
    </x:row>
    <x:row r="184">
      <x:c r="A184" s="60" t="str">
        <x:v>ع ر ض</x:v>
      </x:c>
      <x:c r="B184" s="60" t="str">
        <x:v>P3 — جذور تفريق واختبار</x:v>
      </x:c>
      <x:c r="C184" s="60" t="str">
        <x:v>2:31</x:v>
      </x:c>
      <x:c r="D184" s="60" t="str">
        <x:v>وَعَلَّمَ ءَادَمَ ٱلْأَسْمَآءَ كُلَّهَا ثُمَّ عَرَضَهُمْ عَلَى ٱلْمَلَٰٓئِكَةِ فَقَالَ أَنۢبِـُٔونِى بِأَسْمَآءِ هَٰٓؤُلَآءِ إِن كُنتُمْ صَٰدِقِينَ</x:v>
      </x:c>
      <x:c r="E184" s="60" t="str">
        <x:v>CANDIDATE_DECISIVE</x:v>
      </x:c>
      <x:c r="F184" s="60" t="str">
        <x:v>مرشح عالي القيمة بسبب تنوع المجال أو الصيغة أو المشاركين أو المقابلة؛ يلزم إثبات سبب الحسم في Blind Analysis</x:v>
      </x:c>
      <x:c r="G184" s="60" t="str">
        <x:v>تُحدد الفرضيات التي يختبرها بعد بناء الملفات المحلية المستقلة</x:v>
      </x:c>
      <x:c r="H184" s="60" t="str">
        <x:v>HIGH — candidate</x:v>
      </x:c>
      <x:c r="I184" s="60" t="str">
        <x:v>https://corpus.quran.com/wordbyword.jsp?chapter=2&amp;verse=31</x:v>
      </x:c>
    </x:row>
    <x:row r="185">
      <x:c r="A185" s="60" t="str">
        <x:v>ع ر ض</x:v>
      </x:c>
      <x:c r="B185" s="60" t="str">
        <x:v>P3 — جذور تفريق واختبار</x:v>
      </x:c>
      <x:c r="C185" s="60" t="str">
        <x:v>33:72</x:v>
      </x:c>
      <x:c r="D185" s="60" t="str">
        <x:v>إِنَّا عَرَضْنَا ٱلْأَمَانَةَ عَلَى ٱلسَّمَٰوَٰتِ وَٱلْأَرْضِ وَٱلْجِبَالِ فَأَبَيْنَ أَن يَحْمِلْنَهَا وَأَشْفَقْنَ مِنْهَا وَحَمَلَهَا ٱلْإِنسَٰنُ إِنَّهُۥ كَانَ ظَلُومًا جَهُولًا</x:v>
      </x:c>
      <x:c r="E185" s="60" t="str">
        <x:v>CANDIDATE_DECISIVE</x:v>
      </x:c>
      <x:c r="F185" s="60" t="str">
        <x:v>مرشح عالي القيمة بسبب تنوع المجال أو الصيغة أو المشاركين أو المقابلة؛ يلزم إثبات سبب الحسم في Blind Analysis</x:v>
      </x:c>
      <x:c r="G185" s="60" t="str">
        <x:v>تُحدد الفرضيات التي يختبرها بعد بناء الملفات المحلية المستقلة</x:v>
      </x:c>
      <x:c r="H185" s="60" t="str">
        <x:v>HIGH — candidate</x:v>
      </x:c>
      <x:c r="I185" s="60" t="str">
        <x:v>https://corpus.quran.com/wordbyword.jsp?chapter=33&amp;verse=72</x:v>
      </x:c>
    </x:row>
    <x:row r="186">
      <x:c r="A186" s="60" t="str">
        <x:v>ع ر ض</x:v>
      </x:c>
      <x:c r="B186" s="60" t="str">
        <x:v>P3 — جذور تفريق واختبار</x:v>
      </x:c>
      <x:c r="C186" s="60" t="str">
        <x:v>18:100</x:v>
      </x:c>
      <x:c r="D186" s="60" t="str">
        <x:v>وَعَرَضْنَا جَهَنَّمَ يَوْمَئِذٍ لِّلْكَٰفِرِينَ عَرْضًا</x:v>
      </x:c>
      <x:c r="E186" s="60" t="str">
        <x:v>CANDIDATE_DECISIVE</x:v>
      </x:c>
      <x:c r="F186" s="60" t="str">
        <x:v>مرشح عالي القيمة بسبب تنوع المجال أو الصيغة أو المشاركين أو المقابلة؛ يلزم إثبات سبب الحسم في Blind Analysis</x:v>
      </x:c>
      <x:c r="G186" s="60" t="str">
        <x:v>تُحدد الفرضيات التي يختبرها بعد بناء الملفات المحلية المستقلة</x:v>
      </x:c>
      <x:c r="H186" s="60" t="str">
        <x:v>HIGH — candidate</x:v>
      </x:c>
      <x:c r="I186" s="60" t="str">
        <x:v>https://corpus.quran.com/wordbyword.jsp?chapter=18&amp;verse=100</x:v>
      </x:c>
    </x:row>
    <x:row r="187">
      <x:c r="A187" s="60" t="str">
        <x:v>ف ر ق</x:v>
      </x:c>
      <x:c r="B187" s="60" t="str">
        <x:v>P3 — جذور تفريق واختبار</x:v>
      </x:c>
      <x:c r="C187" s="60" t="str">
        <x:v>2:53</x:v>
      </x:c>
      <x:c r="D187" s="60" t="str">
        <x:v>وَإِذْ ءَاتَيْنَا مُوسَى ٱلْكِتَٰبَ وَٱلْفُرْقَانَ لَعَلَّكُمْ تَهْتَدُونَ</x:v>
      </x:c>
      <x:c r="E187" s="60" t="str">
        <x:v>CANDIDATE_DECISIVE</x:v>
      </x:c>
      <x:c r="F187" s="60" t="str">
        <x:v>مرشح عالي القيمة بسبب تنوع المجال أو الصيغة أو المشاركين أو المقابلة؛ يلزم إثبات سبب الحسم في Blind Analysis</x:v>
      </x:c>
      <x:c r="G187" s="60" t="str">
        <x:v>تُحدد الفرضيات التي يختبرها بعد بناء الملفات المحلية المستقلة</x:v>
      </x:c>
      <x:c r="H187" s="60" t="str">
        <x:v>HIGH — candidate</x:v>
      </x:c>
      <x:c r="I187" s="60" t="str">
        <x:v>https://corpus.quran.com/wordbyword.jsp?chapter=2&amp;verse=53</x:v>
      </x:c>
    </x:row>
    <x:row r="188">
      <x:c r="A188" s="60" t="str">
        <x:v>ف ر ق</x:v>
      </x:c>
      <x:c r="B188" s="60" t="str">
        <x:v>P3 — جذور تفريق واختبار</x:v>
      </x:c>
      <x:c r="C188" s="60" t="str">
        <x:v>2:285</x:v>
      </x:c>
      <x:c r="D188" s="60" t="str">
        <x:v>ءَامَنَ ٱلرَّسُولُ بِمَآ أُنزِلَ إِلَيْهِ مِن رَّبِّهِۦ وَٱلْمُؤْمِنُونَ كُلٌّ ءَامَنَ بِٱللَّهِ وَمَلَٰٓئِكَتِهِۦ وَكُتُبِهِۦ وَرُسُلِهِۦ لَا نُفَرِّقُ بَيْنَ أَحَدٍ مِّن رُّسُلِهِۦ وَقَالُوا۟ سَمِعْنَا وَأَطَعْنَا غُفْرَانَكَ رَبَّنَا وَإِلَيْكَ ٱلْمَصِيرُ</x:v>
      </x:c>
      <x:c r="E188" s="60" t="str">
        <x:v>CANDIDATE_DECISIVE</x:v>
      </x:c>
      <x:c r="F188" s="60" t="str">
        <x:v>مرشح عالي القيمة بسبب تنوع المجال أو الصيغة أو المشاركين أو المقابلة؛ يلزم إثبات سبب الحسم في Blind Analysis</x:v>
      </x:c>
      <x:c r="G188" s="60" t="str">
        <x:v>تُحدد الفرضيات التي يختبرها بعد بناء الملفات المحلية المستقلة</x:v>
      </x:c>
      <x:c r="H188" s="60" t="str">
        <x:v>HIGH — candidate</x:v>
      </x:c>
      <x:c r="I188" s="60" t="str">
        <x:v>https://corpus.quran.com/wordbyword.jsp?chapter=2&amp;verse=285</x:v>
      </x:c>
    </x:row>
    <x:row r="189">
      <x:c r="A189" s="60" t="str">
        <x:v>ف ر ق</x:v>
      </x:c>
      <x:c r="B189" s="60" t="str">
        <x:v>P3 — جذور تفريق واختبار</x:v>
      </x:c>
      <x:c r="C189" s="60" t="str">
        <x:v>3:103</x:v>
      </x:c>
      <x:c r="D189" s="60" t="str">
        <x:v>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x:v>
      </x:c>
      <x:c r="E189" s="60" t="str">
        <x:v>CANDIDATE_DECISIVE</x:v>
      </x:c>
      <x:c r="F189" s="60" t="str">
        <x:v>مرشح عالي القيمة بسبب تنوع المجال أو الصيغة أو المشاركين أو المقابلة؛ يلزم إثبات سبب الحسم في Blind Analysis</x:v>
      </x:c>
      <x:c r="G189" s="60" t="str">
        <x:v>تُحدد الفرضيات التي يختبرها بعد بناء الملفات المحلية المستقلة</x:v>
      </x:c>
      <x:c r="H189" s="60" t="str">
        <x:v>HIGH — candidate</x:v>
      </x:c>
      <x:c r="I189" s="60" t="str">
        <x:v>https://corpus.quran.com/wordbyword.jsp?chapter=3&amp;verse=103</x:v>
      </x:c>
    </x:row>
    <x:row r="190">
      <x:c r="A190" s="60" t="str">
        <x:v>ف ر ق</x:v>
      </x:c>
      <x:c r="B190" s="60" t="str">
        <x:v>P3 — جذور تفريق واختبار</x:v>
      </x:c>
      <x:c r="C190" s="60" t="str">
        <x:v>77:4</x:v>
      </x:c>
      <x:c r="D190" s="60" t="str">
        <x:v>فَٱلْفَٰرِقَٰتِ فَرْقًا</x:v>
      </x:c>
      <x:c r="E190" s="60" t="str">
        <x:v>CANDIDATE_DECISIVE</x:v>
      </x:c>
      <x:c r="F190" s="60" t="str">
        <x:v>مرشح عالي القيمة بسبب تنوع المجال أو الصيغة أو المشاركين أو المقابلة؛ يلزم إثبات سبب الحسم في Blind Analysis</x:v>
      </x:c>
      <x:c r="G190" s="60" t="str">
        <x:v>تُحدد الفرضيات التي يختبرها بعد بناء الملفات المحلية المستقلة</x:v>
      </x:c>
      <x:c r="H190" s="60" t="str">
        <x:v>HIGH — candidate</x:v>
      </x:c>
      <x:c r="I190" s="60" t="str">
        <x:v>https://corpus.quran.com/wordbyword.jsp?chapter=77&amp;verse=4</x:v>
      </x:c>
    </x:row>
    <x:row r="191">
      <x:c r="A191" s="60" t="str">
        <x:v>ق ط ع</x:v>
      </x:c>
      <x:c r="B191" s="60" t="str">
        <x:v>P3 — جذور تفريق واختبار</x:v>
      </x:c>
      <x:c r="C191" s="60" t="str">
        <x:v>2:27</x:v>
      </x:c>
      <x:c r="D191" s="60" t="str">
        <x:v>ٱلَّذِينَ يَنقُضُونَ عَهْدَ ٱللَّهِ مِنۢ بَعْدِ مِيثَٰقِهِۦ وَيَقْطَعُونَ مَآ أَمَرَ ٱللَّهُ بِهِۦٓ أَن يُوصَلَ وَيُفْسِدُونَ فِى ٱلْأَرْضِ أُو۟لَٰٓئِكَ هُمُ ٱلْخَٰسِرُونَ</x:v>
      </x:c>
      <x:c r="E191" s="60" t="str">
        <x:v>CANDIDATE_DECISIVE</x:v>
      </x:c>
      <x:c r="F191" s="60" t="str">
        <x:v>مرشح عالي القيمة بسبب تنوع المجال أو الصيغة أو المشاركين أو المقابلة؛ يلزم إثبات سبب الحسم في Blind Analysis</x:v>
      </x:c>
      <x:c r="G191" s="60" t="str">
        <x:v>تُحدد الفرضيات التي يختبرها بعد بناء الملفات المحلية المستقلة</x:v>
      </x:c>
      <x:c r="H191" s="60" t="str">
        <x:v>HIGH — candidate</x:v>
      </x:c>
      <x:c r="I191" s="60" t="str">
        <x:v>https://corpus.quran.com/wordbyword.jsp?chapter=2&amp;verse=27</x:v>
      </x:c>
    </x:row>
    <x:row r="192">
      <x:c r="A192" s="60" t="str">
        <x:v>ق ط ع</x:v>
      </x:c>
      <x:c r="B192" s="60" t="str">
        <x:v>P3 — جذور تفريق واختبار</x:v>
      </x:c>
      <x:c r="C192" s="60" t="str">
        <x:v>47:22</x:v>
      </x:c>
      <x:c r="D192" s="60" t="str">
        <x:v>فَهَلْ عَسَيْتُمْ إِن تَوَلَّيْتُمْ أَن تُفْسِدُوا۟ فِى ٱلْأَرْضِ وَتُقَطِّعُوٓا۟ أَرْحَامَكُمْ</x:v>
      </x:c>
      <x:c r="E192" s="60" t="str">
        <x:v>CANDIDATE_DECISIVE</x:v>
      </x:c>
      <x:c r="F192" s="60" t="str">
        <x:v>مرشح عالي القيمة بسبب تنوع المجال أو الصيغة أو المشاركين أو المقابلة؛ يلزم إثبات سبب الحسم في Blind Analysis</x:v>
      </x:c>
      <x:c r="G192" s="60" t="str">
        <x:v>تُحدد الفرضيات التي يختبرها بعد بناء الملفات المحلية المستقلة</x:v>
      </x:c>
      <x:c r="H192" s="60" t="str">
        <x:v>HIGH — candidate</x:v>
      </x:c>
      <x:c r="I192" s="60" t="str">
        <x:v>https://corpus.quran.com/wordbyword.jsp?chapter=47&amp;verse=22</x:v>
      </x:c>
    </x:row>
    <x:row r="193">
      <x:c r="A193" s="60" t="str">
        <x:v>ق ط ع</x:v>
      </x:c>
      <x:c r="B193" s="60" t="str">
        <x:v>P3 — جذور تفريق واختبار</x:v>
      </x:c>
      <x:c r="C193" s="60" t="str">
        <x:v>12:31</x:v>
      </x:c>
      <x:c r="D193" s="60" t="str">
        <x:v>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x:v>
      </x:c>
      <x:c r="E193" s="60" t="str">
        <x:v>CANDIDATE_DECISIVE</x:v>
      </x:c>
      <x:c r="F193" s="60" t="str">
        <x:v>مرشح عالي القيمة بسبب تنوع المجال أو الصيغة أو المشاركين أو المقابلة؛ يلزم إثبات سبب الحسم في Blind Analysis</x:v>
      </x:c>
      <x:c r="G193" s="60" t="str">
        <x:v>تُحدد الفرضيات التي يختبرها بعد بناء الملفات المحلية المستقلة</x:v>
      </x:c>
      <x:c r="H193" s="60" t="str">
        <x:v>HIGH — candidate</x:v>
      </x:c>
      <x:c r="I193" s="60" t="str">
        <x:v>https://corpus.quran.com/wordbyword.jsp?chapter=12&amp;verse=31</x:v>
      </x:c>
    </x:row>
    <x:row r="194">
      <x:c r="A194" s="60" t="str">
        <x:v>ق ط ع</x:v>
      </x:c>
      <x:c r="B194" s="60" t="str">
        <x:v>P3 — جذور تفريق واختبار</x:v>
      </x:c>
      <x:c r="C194" s="60" t="str">
        <x:v>69:46</x:v>
      </x:c>
      <x:c r="D194" s="60" t="str">
        <x:v>ثُمَّ لَقَطَعْنَا مِنْهُ ٱلْوَتِينَ</x:v>
      </x:c>
      <x:c r="E194" s="60" t="str">
        <x:v>CANDIDATE_DECISIVE</x:v>
      </x:c>
      <x:c r="F194" s="60" t="str">
        <x:v>مرشح عالي القيمة بسبب تنوع المجال أو الصيغة أو المشاركين أو المقابلة؛ يلزم إثبات سبب الحسم في Blind Analysis</x:v>
      </x:c>
      <x:c r="G194" s="60" t="str">
        <x:v>تُحدد الفرضيات التي يختبرها بعد بناء الملفات المحلية المستقلة</x:v>
      </x:c>
      <x:c r="H194" s="60" t="str">
        <x:v>HIGH — candidate</x:v>
      </x:c>
      <x:c r="I194" s="60" t="str">
        <x:v>https://corpus.quran.com/wordbyword.jsp?chapter=69&amp;verse=46</x:v>
      </x:c>
    </x:row>
    <x:row r="195">
      <x:c r="A195" s="60" t="str">
        <x:v>أ ل ف</x:v>
      </x:c>
      <x:c r="B195" s="60" t="str">
        <x:v>P3 — جذور تفريق واختبار</x:v>
      </x:c>
      <x:c r="C195" s="60" t="str">
        <x:v>3:103</x:v>
      </x:c>
      <x:c r="D195" s="60" t="str">
        <x:v>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x:v>
      </x:c>
      <x:c r="E195" s="60" t="str">
        <x:v>CANDIDATE_DECISIVE</x:v>
      </x:c>
      <x:c r="F195" s="60" t="str">
        <x:v>مرشح عالي القيمة بسبب تنوع المجال أو الصيغة أو المشاركين أو المقابلة؛ يلزم إثبات سبب الحسم في Blind Analysis</x:v>
      </x:c>
      <x:c r="G195" s="60" t="str">
        <x:v>تُحدد الفرضيات التي يختبرها بعد بناء الملفات المحلية المستقلة</x:v>
      </x:c>
      <x:c r="H195" s="60" t="str">
        <x:v>HIGH — candidate</x:v>
      </x:c>
      <x:c r="I195" s="60" t="str">
        <x:v>https://corpus.quran.com/wordbyword.jsp?chapter=3&amp;verse=103</x:v>
      </x:c>
    </x:row>
    <x:row r="196">
      <x:c r="A196" s="60" t="str">
        <x:v>أ ل ف</x:v>
      </x:c>
      <x:c r="B196" s="60" t="str">
        <x:v>P3 — جذور تفريق واختبار</x:v>
      </x:c>
      <x:c r="C196" s="60" t="str">
        <x:v>8:63</x:v>
      </x:c>
      <x:c r="D196" s="60" t="str">
        <x:v>وَأَلَّفَ بَيْنَ قُلُوبِهِمْ لَوْ أَنفَقْتَ مَا فِى ٱلْأَرْضِ جَمِيعًا مَّآ أَلَّفْتَ بَيْنَ قُلُوبِهِمْ وَلَٰكِنَّ ٱللَّهَ أَلَّفَ بَيْنَهُمْ إِنَّهُۥ عَزِيزٌ حَكِيمٌ</x:v>
      </x:c>
      <x:c r="E196" s="60" t="str">
        <x:v>CANDIDATE_DECISIVE</x:v>
      </x:c>
      <x:c r="F196" s="60" t="str">
        <x:v>مرشح عالي القيمة بسبب تنوع المجال أو الصيغة أو المشاركين أو المقابلة؛ يلزم إثبات سبب الحسم في Blind Analysis</x:v>
      </x:c>
      <x:c r="G196" s="60" t="str">
        <x:v>تُحدد الفرضيات التي يختبرها بعد بناء الملفات المحلية المستقلة</x:v>
      </x:c>
      <x:c r="H196" s="60" t="str">
        <x:v>HIGH — candidate</x:v>
      </x:c>
      <x:c r="I196" s="60" t="str">
        <x:v>https://corpus.quran.com/wordbyword.jsp?chapter=8&amp;verse=63</x:v>
      </x:c>
    </x:row>
    <x:row r="197">
      <x:c r="A197" s="60" t="str">
        <x:v>أ ل ف</x:v>
      </x:c>
      <x:c r="B197" s="60" t="str">
        <x:v>P3 — جذور تفريق واختبار</x:v>
      </x:c>
      <x:c r="C197" s="60" t="str">
        <x:v>106:1</x:v>
      </x:c>
      <x:c r="D197" s="60" t="str">
        <x:v>لِإِيلَٰفِ قُرَيْشٍ</x:v>
      </x:c>
      <x:c r="E197" s="60" t="str">
        <x:v>CANDIDATE_DECISIVE</x:v>
      </x:c>
      <x:c r="F197" s="60" t="str">
        <x:v>مرشح عالي القيمة بسبب تنوع المجال أو الصيغة أو المشاركين أو المقابلة؛ يلزم إثبات سبب الحسم في Blind Analysis</x:v>
      </x:c>
      <x:c r="G197" s="60" t="str">
        <x:v>تُحدد الفرضيات التي يختبرها بعد بناء الملفات المحلية المستقلة</x:v>
      </x:c>
      <x:c r="H197" s="60" t="str">
        <x:v>HIGH — candidate</x:v>
      </x:c>
      <x:c r="I197" s="60" t="str">
        <x:v>https://corpus.quran.com/wordbyword.jsp?chapter=106&amp;verse=1</x:v>
      </x:c>
    </x:row>
    <x:row r="198">
      <x:c r="A198" s="60" t="str">
        <x:v>أ ل ف</x:v>
      </x:c>
      <x:c r="B198" s="60" t="str">
        <x:v>P3 — جذور تفريق واختبار</x:v>
      </x:c>
      <x:c r="C198" s="60" t="str">
        <x:v>2:96</x:v>
      </x:c>
      <x:c r="D198" s="60" t="str">
        <x:v>وَلَتَجِدَنَّهُمْ أَحْرَصَ ٱلنَّاسِ عَلَىٰ حَيَوٰةٍ وَمِنَ ٱلَّذِينَ أَشْرَكُوا۟ يَوَدُّ أَحَدُهُمْ لَوْ يُعَمَّرُ أَلْفَ سَنَةٍ وَمَا هُوَ بِمُزَحْزِحِهِۦ مِنَ ٱلْعَذَابِ أَن يُعَمَّرَ وَٱللَّهُ بَصِيرٌۢ بِمَا يَعْمَلُونَ</x:v>
      </x:c>
      <x:c r="E198" s="60" t="str">
        <x:v>CANDIDATE_DECISIVE</x:v>
      </x:c>
      <x:c r="F198" s="60" t="str">
        <x:v>مرشح عالي القيمة بسبب تنوع المجال أو الصيغة أو المشاركين أو المقابلة؛ يلزم إثبات سبب الحسم في Blind Analysis</x:v>
      </x:c>
      <x:c r="G198" s="60" t="str">
        <x:v>تُحدد الفرضيات التي يختبرها بعد بناء الملفات المحلية المستقلة</x:v>
      </x:c>
      <x:c r="H198" s="60" t="str">
        <x:v>HIGH — candidate</x:v>
      </x:c>
      <x:c r="I198" s="60" t="str">
        <x:v>https://corpus.quran.com/wordbyword.jsp?chapter=2&amp;verse=96</x:v>
      </x:c>
    </x:row>
    <x:row r="199">
      <x:c r="A199" s="60" t="str">
        <x:v>ص ن ع</x:v>
      </x:c>
      <x:c r="B199" s="60" t="str">
        <x:v>P3 — جذور تفريق واختبار</x:v>
      </x:c>
      <x:c r="C199" s="60" t="str">
        <x:v>27:88</x:v>
      </x:c>
      <x:c r="D199" s="60" t="str">
        <x:v>وَتَرَى ٱلْجِبَالَ تَحْسَبُهَا جَامِدَةً وَهِىَ تَمُرُّ مَرَّ ٱلسَّحَابِ صُنْعَ ٱللَّهِ ٱلَّذِىٓ أَتْقَنَ كُلَّ شَىْءٍ إِنَّهُۥ خَبِيرٌۢ بِمَا تَفْعَلُونَ</x:v>
      </x:c>
      <x:c r="E199" s="60" t="str">
        <x:v>CANDIDATE_DECISIVE</x:v>
      </x:c>
      <x:c r="F199" s="60" t="str">
        <x:v>مرشح عالي القيمة بسبب تنوع المجال أو الصيغة أو المشاركين أو المقابلة؛ يلزم إثبات سبب الحسم في Blind Analysis</x:v>
      </x:c>
      <x:c r="G199" s="60" t="str">
        <x:v>تُحدد الفرضيات التي يختبرها بعد بناء الملفات المحلية المستقلة</x:v>
      </x:c>
      <x:c r="H199" s="60" t="str">
        <x:v>HIGH — candidate</x:v>
      </x:c>
      <x:c r="I199" s="60" t="str">
        <x:v>https://corpus.quran.com/wordbyword.jsp?chapter=27&amp;verse=88</x:v>
      </x:c>
    </x:row>
    <x:row r="200">
      <x:c r="A200" s="60" t="str">
        <x:v>ص ن ع</x:v>
      </x:c>
      <x:c r="B200" s="60" t="str">
        <x:v>P3 — جذور تفريق واختبار</x:v>
      </x:c>
      <x:c r="C200" s="60" t="str">
        <x:v>20:39</x:v>
      </x:c>
      <x:c r="D200" s="60" t="str">
        <x:v>أَنِ ٱقْذِفِيهِ فِى ٱلتَّابُوتِ فَٱقْذِفِيهِ فِى ٱلْيَمِّ فَلْيُلْقِهِ ٱلْيَمُّ بِٱلسَّاحِلِ يَأْخُذْهُ عَدُوٌّ لِّى وَعَدُوٌّ لَّهُۥ وَأَلْقَيْتُ عَلَيْكَ مَحَبَّةً مِّنِّى وَلِتُصْنَعَ عَلَىٰ عَيْنِىٓ</x:v>
      </x:c>
      <x:c r="E200" s="60" t="str">
        <x:v>CANDIDATE_DECISIVE</x:v>
      </x:c>
      <x:c r="F200" s="60" t="str">
        <x:v>مرشح عالي القيمة بسبب تنوع المجال أو الصيغة أو المشاركين أو المقابلة؛ يلزم إثبات سبب الحسم في Blind Analysis</x:v>
      </x:c>
      <x:c r="G200" s="60" t="str">
        <x:v>تُحدد الفرضيات التي يختبرها بعد بناء الملفات المحلية المستقلة</x:v>
      </x:c>
      <x:c r="H200" s="60" t="str">
        <x:v>HIGH — candidate</x:v>
      </x:c>
      <x:c r="I200" s="60" t="str">
        <x:v>https://corpus.quran.com/wordbyword.jsp?chapter=20&amp;verse=39</x:v>
      </x:c>
    </x:row>
    <x:row r="201">
      <x:c r="A201" s="60" t="str">
        <x:v>ص ن ع</x:v>
      </x:c>
      <x:c r="B201" s="60" t="str">
        <x:v>P3 — جذور تفريق واختبار</x:v>
      </x:c>
      <x:c r="C201" s="60" t="str">
        <x:v>11:37</x:v>
      </x:c>
      <x:c r="D201" s="60" t="str">
        <x:v>وَٱصْنَعِ ٱلْفُلْكَ بِأَعْيُنِنَا وَوَحْيِنَا وَلَا تُخَٰطِبْنِى فِى ٱلَّذِينَ ظَلَمُوٓا۟ إِنَّهُم مُّغْرَقُونَ</x:v>
      </x:c>
      <x:c r="E201" s="60" t="str">
        <x:v>CANDIDATE_DECISIVE</x:v>
      </x:c>
      <x:c r="F201" s="60" t="str">
        <x:v>مرشح عالي القيمة بسبب تنوع المجال أو الصيغة أو المشاركين أو المقابلة؛ يلزم إثبات سبب الحسم في Blind Analysis</x:v>
      </x:c>
      <x:c r="G201" s="60" t="str">
        <x:v>تُحدد الفرضيات التي يختبرها بعد بناء الملفات المحلية المستقلة</x:v>
      </x:c>
      <x:c r="H201" s="60" t="str">
        <x:v>HIGH — candidate</x:v>
      </x:c>
      <x:c r="I201" s="60" t="str">
        <x:v>https://corpus.quran.com/wordbyword.jsp?chapter=11&amp;verse=37</x:v>
      </x:c>
    </x:row>
    <x:row r="202">
      <x:c r="A202" s="60" t="str">
        <x:v>ص ن ع</x:v>
      </x:c>
      <x:c r="B202" s="60" t="str">
        <x:v>P3 — جذور تفريق واختبار</x:v>
      </x:c>
      <x:c r="C202" s="60" t="str">
        <x:v>26:129</x:v>
      </x:c>
      <x:c r="D202" s="60" t="str">
        <x:v>وَتَتَّخِذُونَ مَصَانِعَ لَعَلَّكُمْ تَخْلُدُونَ</x:v>
      </x:c>
      <x:c r="E202" s="60" t="str">
        <x:v>CANDIDATE_DECISIVE</x:v>
      </x:c>
      <x:c r="F202" s="60" t="str">
        <x:v>مرشح عالي القيمة بسبب تنوع المجال أو الصيغة أو المشاركين أو المقابلة؛ يلزم إثبات سبب الحسم في Blind Analysis</x:v>
      </x:c>
      <x:c r="G202" s="60" t="str">
        <x:v>تُحدد الفرضيات التي يختبرها بعد بناء الملفات المحلية المستقلة</x:v>
      </x:c>
      <x:c r="H202" s="60" t="str">
        <x:v>HIGH — candidate</x:v>
      </x:c>
      <x:c r="I202" s="60" t="str">
        <x:v>https://corpus.quran.com/wordbyword.jsp?chapter=26&amp;verse=129</x:v>
      </x:c>
    </x:row>
    <x:row r="203">
      <x:c r="A203" s="60" t="str">
        <x:v>ث ب ت</x:v>
      </x:c>
      <x:c r="B203" s="60" t="str">
        <x:v>P3 — جذور تفريق واختبار</x:v>
      </x:c>
      <x:c r="C203" s="60" t="str">
        <x:v>14:27</x:v>
      </x:c>
      <x:c r="D203" s="60" t="str">
        <x:v>يُثَبِّتُ ٱللَّهُ ٱلَّذِينَ ءَامَنُوا۟ بِٱلْقَوْلِ ٱلثَّابِتِ فِى ٱلْحَيَوٰةِ ٱلدُّنْيَا وَفِى ٱلْءَاخِرَةِ وَيُضِلُّ ٱللَّهُ ٱلظَّٰلِمِينَ وَيَفْعَلُ ٱللَّهُ مَا يَشَآءُ</x:v>
      </x:c>
      <x:c r="E203" s="60" t="str">
        <x:v>CANDIDATE_DECISIVE</x:v>
      </x:c>
      <x:c r="F203" s="60" t="str">
        <x:v>مرشح عالي القيمة بسبب تنوع المجال أو الصيغة أو المشاركين أو المقابلة؛ يلزم إثبات سبب الحسم في Blind Analysis</x:v>
      </x:c>
      <x:c r="G203" s="60" t="str">
        <x:v>تُحدد الفرضيات التي يختبرها بعد بناء الملفات المحلية المستقلة</x:v>
      </x:c>
      <x:c r="H203" s="60" t="str">
        <x:v>HIGH — candidate</x:v>
      </x:c>
      <x:c r="I203" s="60" t="str">
        <x:v>https://corpus.quran.com/wordbyword.jsp?chapter=14&amp;verse=27</x:v>
      </x:c>
    </x:row>
    <x:row r="204">
      <x:c r="A204" s="60" t="str">
        <x:v>ث ب ت</x:v>
      </x:c>
      <x:c r="B204" s="60" t="str">
        <x:v>P3 — جذور تفريق واختبار</x:v>
      </x:c>
      <x:c r="C204" s="60" t="str">
        <x:v>8:11</x:v>
      </x:c>
      <x:c r="D204" s="60" t="str">
        <x:v>إِذْ يُغَشِّيكُمُ ٱلنُّعَاسَ أَمَنَةً مِّنْهُ وَيُنَزِّلُ عَلَيْكُم مِّنَ ٱلسَّمَآءِ مَآءً لِّيُطَهِّرَكُم بِهِۦ وَيُذْهِبَ عَنكُمْ رِجْزَ ٱلشَّيْطَٰنِ وَلِيَرْبِطَ عَلَىٰ قُلُوبِكُمْ وَيُثَبِّتَ بِهِ ٱلْأَقْدَامَ</x:v>
      </x:c>
      <x:c r="E204" s="60" t="str">
        <x:v>CANDIDATE_DECISIVE</x:v>
      </x:c>
      <x:c r="F204" s="60" t="str">
        <x:v>مرشح عالي القيمة بسبب تنوع المجال أو الصيغة أو المشاركين أو المقابلة؛ يلزم إثبات سبب الحسم في Blind Analysis</x:v>
      </x:c>
      <x:c r="G204" s="60" t="str">
        <x:v>تُحدد الفرضيات التي يختبرها بعد بناء الملفات المحلية المستقلة</x:v>
      </x:c>
      <x:c r="H204" s="60" t="str">
        <x:v>HIGH — candidate</x:v>
      </x:c>
      <x:c r="I204" s="60" t="str">
        <x:v>https://corpus.quran.com/wordbyword.jsp?chapter=8&amp;verse=11</x:v>
      </x:c>
    </x:row>
    <x:row r="205">
      <x:c r="A205" s="60" t="str">
        <x:v>ث ب ت</x:v>
      </x:c>
      <x:c r="B205" s="60" t="str">
        <x:v>P3 — جذور تفريق واختبار</x:v>
      </x:c>
      <x:c r="C205" s="60" t="str">
        <x:v>17:74</x:v>
      </x:c>
      <x:c r="D205" s="60" t="str">
        <x:v>وَلَوْلَآ أَن ثَبَّتْنَٰكَ لَقَدْ كِدتَّ تَرْكَنُ إِلَيْهِمْ شَيْـًٔا قَلِيلًا</x:v>
      </x:c>
      <x:c r="E205" s="60" t="str">
        <x:v>CANDIDATE_DECISIVE</x:v>
      </x:c>
      <x:c r="F205" s="60" t="str">
        <x:v>مرشح عالي القيمة بسبب تنوع المجال أو الصيغة أو المشاركين أو المقابلة؛ يلزم إثبات سبب الحسم في Blind Analysis</x:v>
      </x:c>
      <x:c r="G205" s="60" t="str">
        <x:v>تُحدد الفرضيات التي يختبرها بعد بناء الملفات المحلية المستقلة</x:v>
      </x:c>
      <x:c r="H205" s="60" t="str">
        <x:v>HIGH — candidate</x:v>
      </x:c>
      <x:c r="I205" s="60" t="str">
        <x:v>https://corpus.quran.com/wordbyword.jsp?chapter=17&amp;verse=74</x:v>
      </x:c>
    </x:row>
    <x:row r="206">
      <x:c r="A206" s="60" t="str">
        <x:v>ث ب ت</x:v>
      </x:c>
      <x:c r="B206" s="60" t="str">
        <x:v>P3 — جذور تفريق واختبار</x:v>
      </x:c>
      <x:c r="C206" s="60" t="str">
        <x:v>16:102</x:v>
      </x:c>
      <x:c r="D206" s="60" t="str">
        <x:v>قُلْ نَزَّلَهُۥ رُوحُ ٱلْقُدُسِ مِن رَّبِّكَ بِٱلْحَقِّ لِيُثَبِّتَ ٱلَّذِينَ ءَامَنُوا۟ وَهُدًى وَبُشْرَىٰ لِلْمُسْلِمِينَ</x:v>
      </x:c>
      <x:c r="E206" s="60" t="str">
        <x:v>CANDIDATE_DECISIVE</x:v>
      </x:c>
      <x:c r="F206" s="60" t="str">
        <x:v>مرشح عالي القيمة بسبب تنوع المجال أو الصيغة أو المشاركين أو المقابلة؛ يلزم إثبات سبب الحسم في Blind Analysis</x:v>
      </x:c>
      <x:c r="G206" s="60" t="str">
        <x:v>تُحدد الفرضيات التي يختبرها بعد بناء الملفات المحلية المستقلة</x:v>
      </x:c>
      <x:c r="H206" s="60" t="str">
        <x:v>HIGH — candidate</x:v>
      </x:c>
      <x:c r="I206" s="60" t="str">
        <x:v>https://corpus.quran.com/wordbyword.jsp?chapter=16&amp;verse=102</x:v>
      </x:c>
    </x:row>
    <x:row r="207">
      <x:c r="A207" s="60" t="str">
        <x:v>س ط ر</x:v>
      </x:c>
      <x:c r="B207" s="60" t="str">
        <x:v>P3 — جذور تفريق واختبار</x:v>
      </x:c>
      <x:c r="C207" s="60" t="str">
        <x:v>52:2</x:v>
      </x:c>
      <x:c r="D207" s="60" t="str">
        <x:v>وَكِتَٰبٍ مَّسْطُورٍ</x:v>
      </x:c>
      <x:c r="E207" s="60" t="str">
        <x:v>CANDIDATE_DECISIVE</x:v>
      </x:c>
      <x:c r="F207" s="60" t="str">
        <x:v>مرشح عالي القيمة بسبب تنوع المجال أو الصيغة أو المشاركين أو المقابلة؛ يلزم إثبات سبب الحسم في Blind Analysis</x:v>
      </x:c>
      <x:c r="G207" s="60" t="str">
        <x:v>تُحدد الفرضيات التي يختبرها بعد بناء الملفات المحلية المستقلة</x:v>
      </x:c>
      <x:c r="H207" s="60" t="str">
        <x:v>HIGH — candidate</x:v>
      </x:c>
      <x:c r="I207" s="60" t="str">
        <x:v>https://corpus.quran.com/wordbyword.jsp?chapter=52&amp;verse=2</x:v>
      </x:c>
    </x:row>
    <x:row r="208">
      <x:c r="A208" s="60" t="str">
        <x:v>س ط ر</x:v>
      </x:c>
      <x:c r="B208" s="60" t="str">
        <x:v>P3 — جذور تفريق واختبار</x:v>
      </x:c>
      <x:c r="C208" s="60" t="str">
        <x:v>68:1</x:v>
      </x:c>
      <x:c r="D208" s="60" t="str">
        <x:v>نٓ وَٱلْقَلَمِ وَمَا يَسْطُرُونَ</x:v>
      </x:c>
      <x:c r="E208" s="60" t="str">
        <x:v>CANDIDATE_DECISIVE</x:v>
      </x:c>
      <x:c r="F208" s="60" t="str">
        <x:v>مرشح عالي القيمة بسبب تنوع المجال أو الصيغة أو المشاركين أو المقابلة؛ يلزم إثبات سبب الحسم في Blind Analysis</x:v>
      </x:c>
      <x:c r="G208" s="60" t="str">
        <x:v>تُحدد الفرضيات التي يختبرها بعد بناء الملفات المحلية المستقلة</x:v>
      </x:c>
      <x:c r="H208" s="60" t="str">
        <x:v>HIGH — candidate</x:v>
      </x:c>
      <x:c r="I208" s="60" t="str">
        <x:v>https://corpus.quran.com/wordbyword.jsp?chapter=68&amp;verse=1</x:v>
      </x:c>
    </x:row>
    <x:row r="209">
      <x:c r="A209" s="60" t="str">
        <x:v>س ط ر</x:v>
      </x:c>
      <x:c r="B209" s="60" t="str">
        <x:v>P3 — جذور تفريق واختبار</x:v>
      </x:c>
      <x:c r="C209" s="60" t="str">
        <x:v>54:53</x:v>
      </x:c>
      <x:c r="D209" s="60" t="str">
        <x:v>وَكُلُّ صَغِيرٍ وَكَبِيرٍ مُّسْتَطَرٌ</x:v>
      </x:c>
      <x:c r="E209" s="60" t="str">
        <x:v>CANDIDATE_DECISIVE</x:v>
      </x:c>
      <x:c r="F209" s="60" t="str">
        <x:v>مرشح عالي القيمة بسبب تنوع المجال أو الصيغة أو المشاركين أو المقابلة؛ يلزم إثبات سبب الحسم في Blind Analysis</x:v>
      </x:c>
      <x:c r="G209" s="60" t="str">
        <x:v>تُحدد الفرضيات التي يختبرها بعد بناء الملفات المحلية المستقلة</x:v>
      </x:c>
      <x:c r="H209" s="60" t="str">
        <x:v>HIGH — candidate</x:v>
      </x:c>
      <x:c r="I209" s="60" t="str">
        <x:v>https://corpus.quran.com/wordbyword.jsp?chapter=54&amp;verse=53</x:v>
      </x:c>
    </x:row>
    <x:row r="210">
      <x:c r="A210" s="60" t="str">
        <x:v>س ط ر</x:v>
      </x:c>
      <x:c r="B210" s="60" t="str">
        <x:v>P3 — جذور تفريق واختبار</x:v>
      </x:c>
      <x:c r="C210" s="60" t="str">
        <x:v>17:58</x:v>
      </x:c>
      <x:c r="D210" s="60" t="str">
        <x:v>وَإِن مِّن قَرْيَةٍ إِلَّا نَحْنُ مُهْلِكُوهَا قَبْلَ يَوْمِ ٱلْقِيَٰمَةِ أَوْ مُعَذِّبُوهَا عَذَابًا شَدِيدًا كَانَ ذَٰلِكَ فِى ٱلْكِتَٰبِ مَسْطُورًا</x:v>
      </x:c>
      <x:c r="E210" s="60" t="str">
        <x:v>CANDIDATE_DECISIVE</x:v>
      </x:c>
      <x:c r="F210" s="60" t="str">
        <x:v>مرشح عالي القيمة بسبب تنوع المجال أو الصيغة أو المشاركين أو المقابلة؛ يلزم إثبات سبب الحسم في Blind Analysis</x:v>
      </x:c>
      <x:c r="G210" s="60" t="str">
        <x:v>تُحدد الفرضيات التي يختبرها بعد بناء الملفات المحلية المستقلة</x:v>
      </x:c>
      <x:c r="H210" s="60" t="str">
        <x:v>HIGH — candidate</x:v>
      </x:c>
      <x:c r="I210" s="60" t="str">
        <x:v>https://corpus.quran.com/wordbyword.jsp?chapter=17&amp;verse=58</x:v>
      </x:c>
    </x:row>
    <x:row r="211">
      <x:c r="A211" s="60" t="str">
        <x:v>ف ر ض</x:v>
      </x:c>
      <x:c r="B211" s="60" t="str">
        <x:v>P3 — جذور تفريق واختبار</x:v>
      </x:c>
      <x:c r="C211" s="60" t="str">
        <x:v>28:85</x:v>
      </x:c>
      <x:c r="D211" s="60" t="str">
        <x:v>إِنَّ ٱلَّذِى فَرَضَ عَلَيْكَ ٱلْقُرْءَانَ لَرَآدُّكَ إِلَىٰ مَعَادٍ قُل رَّبِّىٓ أَعْلَمُ مَن جَآءَ بِٱلْهُدَىٰ وَمَنْ هُوَ فِى ضَلَٰلٍ مُّبِينٍ</x:v>
      </x:c>
      <x:c r="E211" s="60" t="str">
        <x:v>CANDIDATE_DECISIVE</x:v>
      </x:c>
      <x:c r="F211" s="60" t="str">
        <x:v>مرشح عالي القيمة بسبب تنوع المجال أو الصيغة أو المشاركين أو المقابلة؛ يلزم إثبات سبب الحسم في Blind Analysis</x:v>
      </x:c>
      <x:c r="G211" s="60" t="str">
        <x:v>تُحدد الفرضيات التي يختبرها بعد بناء الملفات المحلية المستقلة</x:v>
      </x:c>
      <x:c r="H211" s="60" t="str">
        <x:v>HIGH — candidate</x:v>
      </x:c>
      <x:c r="I211" s="60" t="str">
        <x:v>https://corpus.quran.com/wordbyword.jsp?chapter=28&amp;verse=85</x:v>
      </x:c>
    </x:row>
    <x:row r="212">
      <x:c r="A212" s="60" t="str">
        <x:v>ف ر ض</x:v>
      </x:c>
      <x:c r="B212" s="60" t="str">
        <x:v>P3 — جذور تفريق واختبار</x:v>
      </x:c>
      <x:c r="C212" s="60" t="str">
        <x:v>66:2</x:v>
      </x:c>
      <x:c r="D212" s="60" t="str">
        <x:v>قَدْ فَرَضَ ٱللَّهُ لَكُمْ تَحِلَّةَ أَيْمَٰنِكُمْ وَٱللَّهُ مَوْلَىٰكُمْ وَهُوَ ٱلْعَلِيمُ ٱلْحَكِيمُ</x:v>
      </x:c>
      <x:c r="E212" s="60" t="str">
        <x:v>CANDIDATE_DECISIVE</x:v>
      </x:c>
      <x:c r="F212" s="60" t="str">
        <x:v>مرشح عالي القيمة بسبب تنوع المجال أو الصيغة أو المشاركين أو المقابلة؛ يلزم إثبات سبب الحسم في Blind Analysis</x:v>
      </x:c>
      <x:c r="G212" s="60" t="str">
        <x:v>تُحدد الفرضيات التي يختبرها بعد بناء الملفات المحلية المستقلة</x:v>
      </x:c>
      <x:c r="H212" s="60" t="str">
        <x:v>HIGH — candidate</x:v>
      </x:c>
      <x:c r="I212" s="60" t="str">
        <x:v>https://corpus.quran.com/wordbyword.jsp?chapter=66&amp;verse=2</x:v>
      </x:c>
    </x:row>
    <x:row r="213">
      <x:c r="A213" s="60" t="str">
        <x:v>ف ر ض</x:v>
      </x:c>
      <x:c r="B213" s="60" t="str">
        <x:v>P3 — جذور تفريق واختبار</x:v>
      </x:c>
      <x:c r="C213" s="60" t="str">
        <x:v>2:237</x:v>
      </x:c>
      <x:c r="D213" s="60" t="str">
        <x:v>وَإِن طَلَّقْتُمُوهُنَّ مِن قَبْلِ أَن تَمَسُّوهُنَّ وَقَدْ فَرَضْتُمْ لَهُنَّ فَرِيضَةً فَنِصْفُ مَا فَرَضْتُمْ إِلَّآ أَن يَعْفُونَ أَوْ يَعْفُوَا۟ ٱلَّذِى بِيَدِهِۦ عُقْدَةُ ٱلنِّكَاحِ وَأَن تَعْفُوٓا۟ أَقْرَبُ لِلتَّقْوَىٰ وَلَا تَنسَوُا۟ ٱلْفَضْلَ بَيْنَكُمْ إِنَّ ٱللَّهَ بِمَا تَعْمَلُونَ بَصِيرٌ</x:v>
      </x:c>
      <x:c r="E213" s="60" t="str">
        <x:v>CANDIDATE_DECISIVE</x:v>
      </x:c>
      <x:c r="F213" s="60" t="str">
        <x:v>مرشح عالي القيمة بسبب تنوع المجال أو الصيغة أو المشاركين أو المقابلة؛ يلزم إثبات سبب الحسم في Blind Analysis</x:v>
      </x:c>
      <x:c r="G213" s="60" t="str">
        <x:v>تُحدد الفرضيات التي يختبرها بعد بناء الملفات المحلية المستقلة</x:v>
      </x:c>
      <x:c r="H213" s="60" t="str">
        <x:v>HIGH — candidate</x:v>
      </x:c>
      <x:c r="I213" s="60" t="str">
        <x:v>https://corpus.quran.com/wordbyword.jsp?chapter=2&amp;verse=237</x:v>
      </x:c>
    </x:row>
    <x:row r="214">
      <x:c r="A214" s="60" t="str">
        <x:v>ف ر ض</x:v>
      </x:c>
      <x:c r="B214" s="60" t="str">
        <x:v>P3 — جذور تفريق واختبار</x:v>
      </x:c>
      <x:c r="C214" s="60" t="str">
        <x:v>24:1</x:v>
      </x:c>
      <x:c r="D214" s="60" t="str">
        <x:v>سُورَةٌ أَنزَلْنَٰهَا وَفَرَضْنَٰهَا وَأَنزَلْنَا فِيهَآ ءَايَٰتٍۭ بَيِّنَٰتٍ لَّعَلَّكُمْ تَذَكَّرُونَ</x:v>
      </x:c>
      <x:c r="E214" s="60" t="str">
        <x:v>CANDIDATE_DECISIVE</x:v>
      </x:c>
      <x:c r="F214" s="60" t="str">
        <x:v>مرشح عالي القيمة بسبب تنوع المجال أو الصيغة أو المشاركين أو المقابلة؛ يلزم إثبات سبب الحسم في Blind Analysis</x:v>
      </x:c>
      <x:c r="G214" s="60" t="str">
        <x:v>تُحدد الفرضيات التي يختبرها بعد بناء الملفات المحلية المستقلة</x:v>
      </x:c>
      <x:c r="H214" s="60" t="str">
        <x:v>HIGH — candidate</x:v>
      </x:c>
      <x:c r="I214" s="60" t="str">
        <x:v>https://corpus.quran.com/wordbyword.jsp?chapter=24&amp;verse=1</x:v>
      </x:c>
    </x:row>
    <x:row r="215">
      <x:c r="A215" s="60" t="str">
        <x:v>و ص ل</x:v>
      </x:c>
      <x:c r="B215" s="60" t="str">
        <x:v>P3 — جذور تفريق واختبار</x:v>
      </x:c>
      <x:c r="C215" s="60" t="str">
        <x:v>2:27</x:v>
      </x:c>
      <x:c r="D215" s="60" t="str">
        <x:v>ٱلَّذِينَ يَنقُضُونَ عَهْدَ ٱللَّهِ مِنۢ بَعْدِ مِيثَٰقِهِۦ وَيَقْطَعُونَ مَآ أَمَرَ ٱللَّهُ بِهِۦٓ أَن يُوصَلَ وَيُفْسِدُونَ فِى ٱلْأَرْضِ أُو۟لَٰٓئِكَ هُمُ ٱلْخَٰسِرُونَ</x:v>
      </x:c>
      <x:c r="E215" s="60" t="str">
        <x:v>CANDIDATE_DECISIVE</x:v>
      </x:c>
      <x:c r="F215" s="60" t="str">
        <x:v>مرشح عالي القيمة بسبب تنوع المجال أو الصيغة أو المشاركين أو المقابلة؛ يلزم إثبات سبب الحسم في Blind Analysis</x:v>
      </x:c>
      <x:c r="G215" s="60" t="str">
        <x:v>تُحدد الفرضيات التي يختبرها بعد بناء الملفات المحلية المستقلة</x:v>
      </x:c>
      <x:c r="H215" s="60" t="str">
        <x:v>HIGH — candidate</x:v>
      </x:c>
      <x:c r="I215" s="60" t="str">
        <x:v>https://corpus.quran.com/wordbyword.jsp?chapter=2&amp;verse=27</x:v>
      </x:c>
    </x:row>
    <x:row r="216">
      <x:c r="A216" s="60" t="str">
        <x:v>و ص ل</x:v>
      </x:c>
      <x:c r="B216" s="60" t="str">
        <x:v>P3 — جذور تفريق واختبار</x:v>
      </x:c>
      <x:c r="C216" s="60" t="str">
        <x:v>13:21</x:v>
      </x:c>
      <x:c r="D216" s="60" t="str">
        <x:v>وَٱلَّذِينَ يَصِلُونَ مَآ أَمَرَ ٱللَّهُ بِهِۦٓ أَن يُوصَلَ وَيَخْشَوْنَ رَبَّهُمْ وَيَخَافُونَ سُوٓءَ ٱلْحِسَابِ</x:v>
      </x:c>
      <x:c r="E216" s="60" t="str">
        <x:v>CANDIDATE_DECISIVE</x:v>
      </x:c>
      <x:c r="F216" s="60" t="str">
        <x:v>مرشح عالي القيمة بسبب تنوع المجال أو الصيغة أو المشاركين أو المقابلة؛ يلزم إثبات سبب الحسم في Blind Analysis</x:v>
      </x:c>
      <x:c r="G216" s="60" t="str">
        <x:v>تُحدد الفرضيات التي يختبرها بعد بناء الملفات المحلية المستقلة</x:v>
      </x:c>
      <x:c r="H216" s="60" t="str">
        <x:v>HIGH — candidate</x:v>
      </x:c>
      <x:c r="I216" s="60" t="str">
        <x:v>https://corpus.quran.com/wordbyword.jsp?chapter=13&amp;verse=21</x:v>
      </x:c>
    </x:row>
    <x:row r="217">
      <x:c r="A217" s="60" t="str">
        <x:v>و ص ل</x:v>
      </x:c>
      <x:c r="B217" s="60" t="str">
        <x:v>P3 — جذور تفريق واختبار</x:v>
      </x:c>
      <x:c r="C217" s="60" t="str">
        <x:v>28:51</x:v>
      </x:c>
      <x:c r="D217" s="60" t="str">
        <x:v>وَلَقَدْ وَصَّلْنَا لَهُمُ ٱلْقَوْلَ لَعَلَّهُمْ يَتَذَكَّرُونَ</x:v>
      </x:c>
      <x:c r="E217" s="60" t="str">
        <x:v>CANDIDATE_DECISIVE</x:v>
      </x:c>
      <x:c r="F217" s="60" t="str">
        <x:v>مرشح عالي القيمة بسبب تنوع المجال أو الصيغة أو المشاركين أو المقابلة؛ يلزم إثبات سبب الحسم في Blind Analysis</x:v>
      </x:c>
      <x:c r="G217" s="60" t="str">
        <x:v>تُحدد الفرضيات التي يختبرها بعد بناء الملفات المحلية المستقلة</x:v>
      </x:c>
      <x:c r="H217" s="60" t="str">
        <x:v>HIGH — candidate</x:v>
      </x:c>
      <x:c r="I217" s="60" t="str">
        <x:v>https://corpus.quran.com/wordbyword.jsp?chapter=28&amp;verse=51</x:v>
      </x:c>
    </x:row>
    <x:row r="218">
      <x:c r="A218" s="60" t="str">
        <x:v>و ص ل</x:v>
      </x:c>
      <x:c r="B218" s="60" t="str">
        <x:v>P3 — جذور تفريق واختبار</x:v>
      </x:c>
      <x:c r="C218" s="60" t="str">
        <x:v>4:90</x:v>
      </x:c>
      <x:c r="D218" s="60" t="str">
        <x:v>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x:v>
      </x:c>
      <x:c r="E218" s="60" t="str">
        <x:v>CANDIDATE_DECISIVE</x:v>
      </x:c>
      <x:c r="F218" s="60" t="str">
        <x:v>مرشح عالي القيمة بسبب تنوع المجال أو الصيغة أو المشاركين أو المقابلة؛ يلزم إثبات سبب الحسم في Blind Analysis</x:v>
      </x:c>
      <x:c r="G218" s="60" t="str">
        <x:v>تُحدد الفرضيات التي يختبرها بعد بناء الملفات المحلية المستقلة</x:v>
      </x:c>
      <x:c r="H218" s="60" t="str">
        <x:v>HIGH — candidate</x:v>
      </x:c>
      <x:c r="I218" s="60" t="str">
        <x:v>https://corpus.quran.com/wordbyword.jsp?chapter=4&amp;verse=90</x:v>
      </x:c>
    </x:row>
    <x:row r="219">
      <x:c r="A219" s="60" t="str">
        <x:v>ع ق د</x:v>
      </x:c>
      <x:c r="B219" s="60" t="str">
        <x:v>P3 — جذور تفريق واختبار</x:v>
      </x:c>
      <x:c r="C219" s="60" t="str">
        <x:v>5:1</x:v>
      </x:c>
      <x:c r="D219" s="60" t="str">
        <x:v>يَٰٓأَيُّهَا ٱلَّذِينَ ءَامَنُوٓا۟ أَوْفُوا۟ بِٱلْعُقُودِ أُحِلَّتْ لَكُم بَهِيمَةُ ٱلْأَنْعَٰمِ إِلَّا مَا يُتْلَىٰ عَلَيْكُمْ غَيْرَ مُحِلِّى ٱلصَّيْدِ وَأَنتُمْ حُرُمٌ إِنَّ ٱللَّهَ يَحْكُمُ مَا يُرِيدُ</x:v>
      </x:c>
      <x:c r="E219" s="60" t="str">
        <x:v>CANDIDATE_DECISIVE</x:v>
      </x:c>
      <x:c r="F219" s="60" t="str">
        <x:v>مرشح عالي القيمة بسبب تنوع المجال أو الصيغة أو المشاركين أو المقابلة؛ يلزم إثبات سبب الحسم في Blind Analysis</x:v>
      </x:c>
      <x:c r="G219" s="60" t="str">
        <x:v>تُحدد الفرضيات التي يختبرها بعد بناء الملفات المحلية المستقلة</x:v>
      </x:c>
      <x:c r="H219" s="60" t="str">
        <x:v>HIGH — candidate</x:v>
      </x:c>
      <x:c r="I219" s="60" t="str">
        <x:v>https://corpus.quran.com/wordbyword.jsp?chapter=5&amp;verse=1</x:v>
      </x:c>
    </x:row>
    <x:row r="220">
      <x:c r="A220" s="60" t="str">
        <x:v>ع ق د</x:v>
      </x:c>
      <x:c r="B220" s="60" t="str">
        <x:v>P3 — جذور تفريق واختبار</x:v>
      </x:c>
      <x:c r="C220" s="60" t="str">
        <x:v>2:235</x:v>
      </x:c>
      <x:c r="D220" s="60" t="str">
        <x:v>وَلَا جُنَاحَ عَلَيْكُمْ فِيمَا عَرَّضْتُم بِهِۦ مِنْ خِطْبَةِ ٱلنِّسَآءِ أَوْ أَكْنَنتُمْ فِىٓ أَنفُسِكُمْ عَلِمَ ٱللَّهُ أَنَّكُمْ سَتَذْكُرُونَهُنَّ وَلَٰكِن لَّا تُوَاعِدُوهُنَّ سِرًّا إِلَّآ أَن تَقُولُوا۟ قَوْلًا مَّعْرُوفًا وَلَا تَعْزِمُوا۟ عُقْدَةَ ٱلنِّكَاحِ حَتَّىٰ يَبْلُغَ ٱلْكِتَٰبُ أَجَلَهُۥ وَٱعْلَمُوٓا۟ أَنَّ ٱللَّهَ يَعْلَمُ مَا فِىٓ أَنفُسِكُمْ فَٱحْذَرُوهُ وَٱعْلَمُوٓا۟ أَنَّ ٱللَّهَ غَفُورٌ حَلِيمٌ</x:v>
      </x:c>
      <x:c r="E220" s="60" t="str">
        <x:v>CANDIDATE_DECISIVE</x:v>
      </x:c>
      <x:c r="F220" s="60" t="str">
        <x:v>مرشح عالي القيمة بسبب تنوع المجال أو الصيغة أو المشاركين أو المقابلة؛ يلزم إثبات سبب الحسم في Blind Analysis</x:v>
      </x:c>
      <x:c r="G220" s="60" t="str">
        <x:v>تُحدد الفرضيات التي يختبرها بعد بناء الملفات المحلية المستقلة</x:v>
      </x:c>
      <x:c r="H220" s="60" t="str">
        <x:v>HIGH — candidate</x:v>
      </x:c>
      <x:c r="I220" s="60" t="str">
        <x:v>https://corpus.quran.com/wordbyword.jsp?chapter=2&amp;verse=235</x:v>
      </x:c>
    </x:row>
    <x:row r="221">
      <x:c r="A221" s="60" t="str">
        <x:v>ع ق د</x:v>
      </x:c>
      <x:c r="B221" s="60" t="str">
        <x:v>P3 — جذور تفريق واختبار</x:v>
      </x:c>
      <x:c r="C221" s="60" t="str">
        <x:v>113:4</x:v>
      </x:c>
      <x:c r="D221" s="60" t="str">
        <x:v>وَمِن شَرِّ ٱلنَّفَّٰثَٰتِ فِى ٱلْعُقَدِ</x:v>
      </x:c>
      <x:c r="E221" s="60" t="str">
        <x:v>CANDIDATE_DECISIVE</x:v>
      </x:c>
      <x:c r="F221" s="60" t="str">
        <x:v>مرشح عالي القيمة بسبب تنوع المجال أو الصيغة أو المشاركين أو المقابلة؛ يلزم إثبات سبب الحسم في Blind Analysis</x:v>
      </x:c>
      <x:c r="G221" s="60" t="str">
        <x:v>تُحدد الفرضيات التي يختبرها بعد بناء الملفات المحلية المستقلة</x:v>
      </x:c>
      <x:c r="H221" s="60" t="str">
        <x:v>HIGH — candidate</x:v>
      </x:c>
      <x:c r="I221" s="60" t="str">
        <x:v>https://corpus.quran.com/wordbyword.jsp?chapter=113&amp;verse=4</x:v>
      </x:c>
    </x:row>
    <x:row r="222">
      <x:c r="A222" s="60" t="str">
        <x:v>ع ق د</x:v>
      </x:c>
      <x:c r="B222" s="60" t="str">
        <x:v>P3 — جذور تفريق واختبار</x:v>
      </x:c>
      <x:c r="C222" s="60" t="str">
        <x:v>20:27</x:v>
      </x:c>
      <x:c r="D222" s="60" t="str">
        <x:v>وَٱحْلُلْ عُقْدَةً مِّن لِّسَانِى</x:v>
      </x:c>
      <x:c r="E222" s="60" t="str">
        <x:v>CANDIDATE_DECISIVE</x:v>
      </x:c>
      <x:c r="F222" s="60" t="str">
        <x:v>مرشح عالي القيمة بسبب تنوع المجال أو الصيغة أو المشاركين أو المقابلة؛ يلزم إثبات سبب الحسم في Blind Analysis</x:v>
      </x:c>
      <x:c r="G222" s="60" t="str">
        <x:v>تُحدد الفرضيات التي يختبرها بعد بناء الملفات المحلية المستقلة</x:v>
      </x:c>
      <x:c r="H222" s="60" t="str">
        <x:v>HIGH — candidate</x:v>
      </x:c>
      <x:c r="I222" s="60" t="str">
        <x:v>https://corpus.quran.com/wordbyword.jsp?chapter=20&amp;verse=27</x:v>
      </x:c>
    </x:row>
    <x:row r="223">
      <x:c r="A223" s="60" t="str">
        <x:v>ر ب ط</x:v>
      </x:c>
      <x:c r="B223" s="60" t="str">
        <x:v>P3 — جذور تفريق واختبار</x:v>
      </x:c>
      <x:c r="C223" s="60" t="str">
        <x:v>18:14</x:v>
      </x:c>
      <x:c r="D223" s="60" t="str">
        <x:v>وَرَبَطْنَا عَلَىٰ قُلُوبِهِمْ إِذْ قَامُوا۟ فَقَالُوا۟ رَبُّنَا رَبُّ ٱلسَّمَٰوَٰتِ وَٱلْأَرْضِ لَن نَّدْعُوَا۟ مِن دُونِهِۦٓ إِلَٰهًا لَّقَدْ قُلْنَآ إِذًا شَطَطًا</x:v>
      </x:c>
      <x:c r="E223" s="60" t="str">
        <x:v>CANDIDATE_DECISIVE</x:v>
      </x:c>
      <x:c r="F223" s="60" t="str">
        <x:v>مرشح عالي القيمة بسبب تنوع المجال أو الصيغة أو المشاركين أو المقابلة؛ يلزم إثبات سبب الحسم في Blind Analysis</x:v>
      </x:c>
      <x:c r="G223" s="60" t="str">
        <x:v>تُحدد الفرضيات التي يختبرها بعد بناء الملفات المحلية المستقلة</x:v>
      </x:c>
      <x:c r="H223" s="60" t="str">
        <x:v>HIGH — candidate</x:v>
      </x:c>
      <x:c r="I223" s="60" t="str">
        <x:v>https://corpus.quran.com/wordbyword.jsp?chapter=18&amp;verse=14</x:v>
      </x:c>
    </x:row>
    <x:row r="224">
      <x:c r="A224" s="60" t="str">
        <x:v>ر ب ط</x:v>
      </x:c>
      <x:c r="B224" s="60" t="str">
        <x:v>P3 — جذور تفريق واختبار</x:v>
      </x:c>
      <x:c r="C224" s="60" t="str">
        <x:v>8:11</x:v>
      </x:c>
      <x:c r="D224" s="60" t="str">
        <x:v>إِذْ يُغَشِّيكُمُ ٱلنُّعَاسَ أَمَنَةً مِّنْهُ وَيُنَزِّلُ عَلَيْكُم مِّنَ ٱلسَّمَآءِ مَآءً لِّيُطَهِّرَكُم بِهِۦ وَيُذْهِبَ عَنكُمْ رِجْزَ ٱلشَّيْطَٰنِ وَلِيَرْبِطَ عَلَىٰ قُلُوبِكُمْ وَيُثَبِّتَ بِهِ ٱلْأَقْدَامَ</x:v>
      </x:c>
      <x:c r="E224" s="60" t="str">
        <x:v>CANDIDATE_DECISIVE</x:v>
      </x:c>
      <x:c r="F224" s="60" t="str">
        <x:v>مرشح عالي القيمة بسبب تنوع المجال أو الصيغة أو المشاركين أو المقابلة؛ يلزم إثبات سبب الحسم في Blind Analysis</x:v>
      </x:c>
      <x:c r="G224" s="60" t="str">
        <x:v>تُحدد الفرضيات التي يختبرها بعد بناء الملفات المحلية المستقلة</x:v>
      </x:c>
      <x:c r="H224" s="60" t="str">
        <x:v>HIGH — candidate</x:v>
      </x:c>
      <x:c r="I224" s="60" t="str">
        <x:v>https://corpus.quran.com/wordbyword.jsp?chapter=8&amp;verse=11</x:v>
      </x:c>
    </x:row>
    <x:row r="225">
      <x:c r="A225" s="60" t="str">
        <x:v>ر ب ط</x:v>
      </x:c>
      <x:c r="B225" s="60" t="str">
        <x:v>P3 — جذور تفريق واختبار</x:v>
      </x:c>
      <x:c r="C225" s="60" t="str">
        <x:v>28:10</x:v>
      </x:c>
      <x:c r="D225" s="60" t="str">
        <x:v>وَأَصْبَحَ فُؤَادُ أُمِّ مُوسَىٰ فَٰرِغًا إِن كَادَتْ لَتُبْدِى بِهِۦ لَوْلَآ أَن رَّبَطْنَا عَلَىٰ قَلْبِهَا لِتَكُونَ مِنَ ٱلْمُؤْمِنِينَ</x:v>
      </x:c>
      <x:c r="E225" s="60" t="str">
        <x:v>CANDIDATE_DECISIVE</x:v>
      </x:c>
      <x:c r="F225" s="60" t="str">
        <x:v>مرشح عالي القيمة بسبب تنوع المجال أو الصيغة أو المشاركين أو المقابلة؛ يلزم إثبات سبب الحسم في Blind Analysis</x:v>
      </x:c>
      <x:c r="G225" s="60" t="str">
        <x:v>تُحدد الفرضيات التي يختبرها بعد بناء الملفات المحلية المستقلة</x:v>
      </x:c>
      <x:c r="H225" s="60" t="str">
        <x:v>HIGH — candidate</x:v>
      </x:c>
      <x:c r="I225" s="60" t="str">
        <x:v>https://corpus.quran.com/wordbyword.jsp?chapter=28&amp;verse=10</x:v>
      </x:c>
    </x:row>
    <x:row r="226">
      <x:c r="A226" s="60" t="str">
        <x:v>ر ب ط</x:v>
      </x:c>
      <x:c r="B226" s="60" t="str">
        <x:v>P3 — جذور تفريق واختبار</x:v>
      </x:c>
      <x:c r="C226" s="60" t="str">
        <x:v>3:200</x:v>
      </x:c>
      <x:c r="D226" s="60" t="str">
        <x:v>يَٰٓأَيُّهَا ٱلَّذِينَ ءَامَنُوا۟ ٱصْبِرُوا۟ وَصَابِرُوا۟ وَرَابِطُوا۟ وَٱتَّقُوا۟ ٱللَّهَ لَعَلَّكُمْ تُفْلِحُونَ</x:v>
      </x:c>
      <x:c r="E226" s="60" t="str">
        <x:v>CANDIDATE_DECISIVE</x:v>
      </x:c>
      <x:c r="F226" s="60" t="str">
        <x:v>مرشح عالي القيمة بسبب تنوع المجال أو الصيغة أو المشاركين أو المقابلة؛ يلزم إثبات سبب الحسم في Blind Analysis</x:v>
      </x:c>
      <x:c r="G226" s="60" t="str">
        <x:v>تُحدد الفرضيات التي يختبرها بعد بناء الملفات المحلية المستقلة</x:v>
      </x:c>
      <x:c r="H226" s="60" t="str">
        <x:v>HIGH — candidate</x:v>
      </x:c>
      <x:c r="I226" s="60" t="str">
        <x:v>https://corpus.quran.com/wordbyword.jsp?chapter=3&amp;verse=200</x:v>
      </x:c>
    </x:row>
    <x:row r="227">
      <x:c r="A227" s="60" t="str">
        <x:v>ر ق م</x:v>
      </x:c>
      <x:c r="B227" s="60" t="str">
        <x:v>P3 — جذور تفريق واختبار</x:v>
      </x:c>
      <x:c r="C227" s="60" t="str">
        <x:v>83:9</x:v>
      </x:c>
      <x:c r="D227" s="60" t="str">
        <x:v>كِتَٰبٌ مَّرْقُومٌ</x:v>
      </x:c>
      <x:c r="E227" s="60" t="str">
        <x:v>CANDIDATE_DECISIVE</x:v>
      </x:c>
      <x:c r="F227" s="60" t="str">
        <x:v>مرشح عالي القيمة بسبب تنوع المجال أو الصيغة أو المشاركين أو المقابلة؛ يلزم إثبات سبب الحسم في Blind Analysis</x:v>
      </x:c>
      <x:c r="G227" s="60" t="str">
        <x:v>تُحدد الفرضيات التي يختبرها بعد بناء الملفات المحلية المستقلة</x:v>
      </x:c>
      <x:c r="H227" s="60" t="str">
        <x:v>HIGH — candidate</x:v>
      </x:c>
      <x:c r="I227" s="60" t="str">
        <x:v>https://corpus.quran.com/wordbyword.jsp?chapter=83&amp;verse=9</x:v>
      </x:c>
    </x:row>
    <x:row r="228">
      <x:c r="A228" s="60" t="str">
        <x:v>ر ق م</x:v>
      </x:c>
      <x:c r="B228" s="60" t="str">
        <x:v>P3 — جذور تفريق واختبار</x:v>
      </x:c>
      <x:c r="C228" s="60" t="str">
        <x:v>83:20</x:v>
      </x:c>
      <x:c r="D228" s="60" t="str">
        <x:v>كِتَٰبٌ مَّرْقُومٌ</x:v>
      </x:c>
      <x:c r="E228" s="60" t="str">
        <x:v>CANDIDATE_DECISIVE</x:v>
      </x:c>
      <x:c r="F228" s="60" t="str">
        <x:v>مرشح عالي القيمة بسبب تنوع المجال أو الصيغة أو المشاركين أو المقابلة؛ يلزم إثبات سبب الحسم في Blind Analysis</x:v>
      </x:c>
      <x:c r="G228" s="60" t="str">
        <x:v>تُحدد الفرضيات التي يختبرها بعد بناء الملفات المحلية المستقلة</x:v>
      </x:c>
      <x:c r="H228" s="60" t="str">
        <x:v>HIGH — candidate</x:v>
      </x:c>
      <x:c r="I228" s="60" t="str">
        <x:v>https://corpus.quran.com/wordbyword.jsp?chapter=83&amp;verse=20</x:v>
      </x:c>
    </x:row>
    <x:row r="229">
      <x:c r="A229" s="60" t="str">
        <x:v>ر ق م</x:v>
      </x:c>
      <x:c r="B229" s="60" t="str">
        <x:v>P3 — جذور تفريق واختبار</x:v>
      </x:c>
      <x:c r="C229" s="60" t="str">
        <x:v>18:9</x:v>
      </x:c>
      <x:c r="D229" s="60" t="str">
        <x:v>أَمْ حَسِبْتَ أَنَّ أَصْحَٰبَ ٱلْكَهْفِ وَٱلرَّقِيمِ كَانُوا۟ مِنْ ءَايَٰتِنَا عَجَبًا</x:v>
      </x:c>
      <x:c r="E229" s="60" t="str">
        <x:v>CANDIDATE_DECISIVE</x:v>
      </x:c>
      <x:c r="F229" s="60" t="str">
        <x:v>مرشح عالي القيمة بسبب تنوع المجال أو الصيغة أو المشاركين أو المقابلة؛ يلزم إثبات سبب الحسم في Blind Analysis</x:v>
      </x:c>
      <x:c r="G229" s="60" t="str">
        <x:v>تُحدد الفرضيات التي يختبرها بعد بناء الملفات المحلية المستقلة</x:v>
      </x:c>
      <x:c r="H229" s="60" t="str">
        <x:v>HIGH — candidate</x:v>
      </x:c>
      <x:c r="I229" s="60" t="str">
        <x:v>https://corpus.quran.com/wordbyword.jsp?chapter=18&amp;verse=9</x:v>
      </x:c>
    </x:row>
    <x:row r="230">
      <x:c r="A230" s="60" t="str">
        <x:v>ض م م</x:v>
      </x:c>
      <x:c r="B230" s="60" t="str">
        <x:v>P3 — جذور تفريق واختبار</x:v>
      </x:c>
      <x:c r="C230" s="60" t="str">
        <x:v>20:22</x:v>
      </x:c>
      <x:c r="D230" s="60" t="str">
        <x:v>وَٱضْمُمْ يَدَكَ إِلَىٰ جَنَاحِكَ تَخْرُجْ بَيْضَآءَ مِنْ غَيْرِ سُوٓءٍ ءَايَةً أُخْرَىٰ</x:v>
      </x:c>
      <x:c r="E230" s="60" t="str">
        <x:v>CANDIDATE_DECISIVE</x:v>
      </x:c>
      <x:c r="F230" s="60" t="str">
        <x:v>مرشح عالي القيمة بسبب تنوع المجال أو الصيغة أو المشاركين أو المقابلة؛ يلزم إثبات سبب الحسم في Blind Analysis</x:v>
      </x:c>
      <x:c r="G230" s="60" t="str">
        <x:v>تُحدد الفرضيات التي يختبرها بعد بناء الملفات المحلية المستقلة</x:v>
      </x:c>
      <x:c r="H230" s="60" t="str">
        <x:v>HIGH — candidate</x:v>
      </x:c>
      <x:c r="I230" s="60" t="str">
        <x:v>https://corpus.quran.com/wordbyword.jsp?chapter=20&amp;verse=22</x:v>
      </x:c>
    </x:row>
    <x:row r="231">
      <x:c r="A231" s="60" t="str">
        <x:v>ض م م</x:v>
      </x:c>
      <x:c r="B231" s="60" t="str">
        <x:v>P3 — جذور تفريق واختبار</x:v>
      </x:c>
      <x:c r="C231" s="60" t="str">
        <x:v>28:32</x:v>
      </x:c>
      <x:c r="D231" s="60" t="str">
        <x:v>ٱسْلُكْ يَدَكَ فِى جَيْبِكَ تَخْرُجْ بَيْضَآءَ مِنْ غَيْرِ سُوٓءٍ وَٱضْمُمْ إِلَيْكَ جَنَاحَكَ مِنَ ٱلرَّهْبِ فَذَٰنِكَ بُرْهَٰنَانِ مِن رَّبِّكَ إِلَىٰ فِرْعَوْنَ وَمَلَإِي۟هِۦٓ إِنَّهُمْ كَانُوا۟ قَوْمًا فَٰسِقِينَ</x:v>
      </x:c>
      <x:c r="E231" s="60" t="str">
        <x:v>CANDIDATE_DECISIVE</x:v>
      </x:c>
      <x:c r="F231" s="60" t="str">
        <x:v>مرشح عالي القيمة بسبب تنوع المجال أو الصيغة أو المشاركين أو المقابلة؛ يلزم إثبات سبب الحسم في Blind Analysis</x:v>
      </x:c>
      <x:c r="G231" s="60" t="str">
        <x:v>تُحدد الفرضيات التي يختبرها بعد بناء الملفات المحلية المستقلة</x:v>
      </x:c>
      <x:c r="H231" s="60" t="str">
        <x:v>HIGH — candidate</x:v>
      </x:c>
      <x:c r="I231" s="60" t="str">
        <x:v>https://corpus.quran.com/wordbyword.jsp?chapter=28&amp;verse=32</x:v>
      </x:c>
    </x:row>
    <x:row r="232">
      <x:c r="A232" s="60" t="str">
        <x:v>خ ط ط</x:v>
      </x:c>
      <x:c r="B232" s="60" t="str">
        <x:v>P3 — جذور تفريق واختبار</x:v>
      </x:c>
      <x:c r="C232" s="60" t="str">
        <x:v>29:48</x:v>
      </x:c>
      <x:c r="D232" s="60" t="str">
        <x:v>وَمَا كُنتَ تَتْلُوا۟ مِن قَبْلِهِۦ مِن كِتَٰبٍ وَلَا تَخُطُّهُۥ بِيَمِينِكَ إِذًا لَّٱرْتَابَ ٱلْمُبْطِلُونَ</x:v>
      </x:c>
      <x:c r="E232" s="60" t="str">
        <x:v>CANDIDATE_DECISIVE</x:v>
      </x:c>
      <x:c r="F232" s="60" t="str">
        <x:v>مرشح عالي القيمة بسبب تنوع المجال أو الصيغة أو المشاركين أو المقابلة؛ يلزم إثبات سبب الحسم في Blind Analysis</x:v>
      </x:c>
      <x:c r="G232" s="60" t="str">
        <x:v>تُحدد الفرضيات التي يختبرها بعد بناء الملفات المحلية المستقلة</x:v>
      </x:c>
      <x:c r="H232" s="60" t="str">
        <x:v>HIGH — candidate</x:v>
      </x:c>
      <x:c r="I232" s="60" t="str">
        <x:v>https://corpus.quran.com/wordbyword.jsp?chapter=29&amp;verse=48</x:v>
      </x:c>
    </x:row>
  </x:sheetData>
  <x:mergeCells>
    <x:mergeCell ref="A1:I2"/>
    <x:mergeCell ref="A3:I4"/>
  </x:mergeCells>
  <x:conditionalFormatting sqref="E7:E232">
    <x:cfRule type="expression" dxfId="2" priority="1">
      <x:formula>E7="AGREED_DECISIVE"</x:formula>
    </x:cfRule>
    <x:cfRule type="expression" dxfId="3" priority="2">
      <x:formula>E7="CANDIDATE_DECISIVE"</x:formula>
    </x:cfRule>
  </x:conditionalFormatting>
  <x:pageMargins left="0.7" right="0.7" top="0.75" bottom="0.75" header="0.3" footer="0.3"/>
  <x:tableParts count="1">
    <x:tablePart xmlns:r="http://schemas.openxmlformats.org/officeDocument/2006/relationships" r:id="R59dae7dfee71411b"/>
  </x:tableParts>
</x:worksheet>
</file>

<file path=xl/worksheets/sheet6.xml><?xml version="1.0" encoding="utf-8"?>
<x:worksheet xmlns:x="http://schemas.openxmlformats.org/spreadsheetml/2006/main">
  <x:sheetFormatPr defaultRowHeight="15"/>
  <x:cols>
    <x:col min="1" max="1" width="34" hidden="0" customWidth="1"/>
    <x:col min="2" max="2" width="70" hidden="0" customWidth="1"/>
    <x:col min="3" max="3" width="52" hidden="0" customWidth="1"/>
    <x:col min="4" max="4" width="16" hidden="0" customWidth="1"/>
    <x:col min="5" max="5" width="16" hidden="0" customWidth="1"/>
    <x:col min="6" max="6" width="16" hidden="0" customWidth="1"/>
  </x:cols>
  <x:sheetData>
    <x:row r="1">
      <x:c r="A1" s="6" t="str">
        <x:v>منهج استخدام الملف وضوابط تحديثه</x:v>
      </x:c>
      <x:c r="B1" s="6"/>
      <x:c r="C1" s="6"/>
      <x:c r="D1" s="6"/>
      <x:c r="E1" s="6"/>
      <x:c r="F1" s="6"/>
    </x:row>
    <x:row r="2">
      <x:c r="A2" s="6"/>
      <x:c r="B2" s="6"/>
      <x:c r="C2" s="6"/>
      <x:c r="D2" s="6"/>
      <x:c r="E2" s="6"/>
      <x:c r="F2" s="6"/>
    </x:row>
    <x:row r="4">
      <x:c r="A4" s="50" t="str">
        <x:v>1. دورة العمل لكل جذر</x:v>
      </x:c>
      <x:c r="B4" s="50"/>
      <x:c r="C4" s="50"/>
      <x:c r="D4" s="50"/>
      <x:c r="E4" s="50"/>
      <x:c r="F4" s="50"/>
    </x:row>
    <x:row r="5">
      <x:c r="A5" s="26" t="str">
        <x:v>المرحلة</x:v>
      </x:c>
      <x:c r="B5" s="26" t="str">
        <x:v>النتيجة المطلوبة</x:v>
      </x:c>
      <x:c r="C5" s="26" t="str">
        <x:v>المنع/البوابة</x:v>
      </x:c>
    </x:row>
    <x:row r="6">
      <x:c r="A6" s="60" t="str">
        <x:v>1 — Blind Discovery</x:v>
      </x:c>
      <x:c r="B6" s="60" t="str">
        <x:v>Corpus + ملفات ملاحظة مستقلة + فرضيات متنافسة</x:v>
      </x:c>
      <x:c r="C6" s="60" t="str">
        <x:v>ZERO-PRIOR-MEANING / CORPUS-FIRST</x:v>
      </x:c>
    </x:row>
    <x:row r="7">
      <x:c r="A7" s="60" t="str">
        <x:v>2 — Negative Determination</x:v>
      </x:c>
      <x:c r="B7" s="60" t="str">
        <x:v>سجل ما لا يمكن أن يكون Root Core</x:v>
      </x:c>
      <x:c r="C7" s="60" t="str">
        <x:v>EXCLUSION BEFORE IDENTIFICATION</x:v>
      </x:c>
    </x:row>
    <x:row r="8">
      <x:c r="A8" s="60" t="str">
        <x:v>3 — Falsification</x:v>
      </x:c>
      <x:c r="B8" s="60" t="str">
        <x:v>اختبار أصعب سياق وأقوى بديل</x:v>
      </x:c>
      <x:c r="C8" s="60" t="str">
        <x:v>FALSIFICATION GATE</x:v>
      </x:c>
    </x:row>
    <x:row r="9">
      <x:c r="A9" s="60" t="str">
        <x:v>4 — Core/Realization Separation</x:v>
      </x:c>
      <x:c r="B9" s="60" t="str">
        <x:v>Root Core + Form + Construction + Context = Local Meaning</x:v>
      </x:c>
      <x:c r="C9" s="60" t="str">
        <x:v>ROOT-TRACEABILITY</x:v>
      </x:c>
    </x:row>
    <x:row r="10">
      <x:c r="A10" s="60" t="str">
        <x:v>5 — Lexical Differentiation</x:v>
      </x:c>
      <x:c r="B10" s="60" t="str">
        <x:v>مقارنة أقرب الألفاظ والبقية الدلالية</x:v>
      </x:c>
      <x:c r="C10" s="60" t="str">
        <x:v>LEXICAL COLLISION GATE</x:v>
      </x:c>
    </x:row>
    <x:row r="11">
      <x:c r="A11" s="60" t="str">
        <x:v>6 — Internal Lock</x:v>
      </x:c>
      <x:c r="B11" s="60" t="str">
        <x:v>تثبيت النتيجة الداخلية</x:v>
      </x:c>
      <x:c r="C11" s="60" t="str">
        <x:v>LOCK_INTERNAL_RESULT</x:v>
      </x:c>
    </x:row>
    <x:row r="12">
      <x:c r="A12" s="60" t="str">
        <x:v>7 — Post-Lock Comparison</x:v>
      </x:c>
      <x:c r="B12" s="60" t="str">
        <x:v>المعاجم/الحديث/الشعر/النتائج السابقة للاستئناس فقط</x:v>
      </x:c>
      <x:c r="C12" s="60" t="str">
        <x:v>EXTERNAL SOURCES NON-GOVERNING</x:v>
      </x:c>
    </x:row>
    <x:row r="13">
      <x:c r="A13" s="60" t="str">
        <x:v>8 — Registry Update</x:v>
      </x:c>
      <x:c r="B13" s="60" t="str">
        <x:v>تعريف versioned + الحدود + السياقات + Regression</x:v>
      </x:c>
      <x:c r="C13" s="60" t="str">
        <x:v>SEMANTIC DEFINITION REGISTRY</x:v>
      </x:c>
    </x:row>
    <x:row r="15">
      <x:c r="A15" s="50" t="str">
        <x:v>2. معادلة ترتيب الأولوية</x:v>
      </x:c>
      <x:c r="B15" s="50"/>
      <x:c r="C15" s="50"/>
      <x:c r="D15" s="50"/>
      <x:c r="E15" s="50"/>
      <x:c r="F15" s="50"/>
    </x:row>
    <x:row r="16">
      <x:c r="A16" s="26" t="str">
        <x:v>العامل</x:v>
      </x:c>
      <x:c r="B16" s="26" t="str">
        <x:v>الوزن</x:v>
      </x:c>
      <x:c r="C16" s="26" t="str">
        <x:v>الغرض</x:v>
      </x:c>
    </x:row>
    <x:row r="17">
      <x:c r="A17" s="60" t="str">
        <x:v>الأهمية المفهومية</x:v>
      </x:c>
      <x:c r="B17" s="80" t="n">
        <x:v>0.3</x:v>
      </x:c>
      <x:c r="C17" s="60" t="str">
        <x:v>مدى أثر ضبط الجذر على فهم موضوعات كثيرة</x:v>
      </x:c>
    </x:row>
    <x:row r="18">
      <x:c r="A18" s="60" t="str">
        <x:v>التكرار</x:v>
      </x:c>
      <x:c r="B18" s="80" t="n">
        <x:v>0.2</x:v>
      </x:c>
      <x:c r="C18" s="60" t="str">
        <x:v>مقدار إعادة الاستخدام المتوقعة</x:v>
      </x:c>
    </x:row>
    <x:row r="19">
      <x:c r="A19" s="60" t="str">
        <x:v>التنوع البنيوي</x:v>
      </x:c>
      <x:c r="B19" s="80" t="n">
        <x:v>0.15</x:v>
      </x:c>
      <x:c r="C19" s="60" t="str">
        <x:v>عدد اللمم والصيغ والأنماط البنيوية</x:v>
      </x:c>
    </x:row>
    <x:row r="20">
      <x:c r="A20" s="60" t="str">
        <x:v>قيمة التفريق</x:v>
      </x:c>
      <x:c r="B20" s="80" t="n">
        <x:v>0.15</x:v>
      </x:c>
      <x:c r="C20" s="60" t="str">
        <x:v>قدرته على تفريد شبكات من ألفاظ متقاربة</x:v>
      </x:c>
    </x:row>
    <x:row r="21">
      <x:c r="A21" s="60" t="str">
        <x:v>خطر المعنى المسبق</x:v>
      </x:c>
      <x:c r="B21" s="80" t="n">
        <x:v>0.1</x:v>
      </x:c>
      <x:c r="C21" s="60" t="str">
        <x:v>أولوية تصحيح الجذور المحمّلة بتصورات سابقة</x:v>
      </x:c>
    </x:row>
    <x:row r="22">
      <x:c r="A22" s="60" t="str">
        <x:v>قابلية إعادة الاستخدام</x:v>
      </x:c>
      <x:c r="B22" s="80" t="n">
        <x:v>0.1</x:v>
      </x:c>
      <x:c r="C22" s="60" t="str">
        <x:v>مدى استفادة الإجابات اللاحقة من التعريف</x:v>
      </x:c>
    </x:row>
    <x:row r="24">
      <x:c r="A24" s="50" t="str">
        <x:v>3. تعريف أهم الأعمدة والحالات</x:v>
      </x:c>
      <x:c r="B24" s="50"/>
      <x:c r="C24" s="50"/>
      <x:c r="D24" s="50"/>
      <x:c r="E24" s="50"/>
      <x:c r="F24" s="50"/>
    </x:row>
    <x:row r="25">
      <x:c r="A25" s="26" t="str">
        <x:v>الحقل/الحالة</x:v>
      </x:c>
      <x:c r="B25" s="26" t="str">
        <x:v>المقصود</x:v>
      </x:c>
    </x:row>
    <x:row r="26">
      <x:c r="A26" s="60" t="str">
        <x:v>عدد الورود</x:v>
      </x:c>
      <x:c r="B26" s="60" t="str">
        <x:v>عدد مواضع الكلمات الفريدة التي تحمل الجذر في QAC v0.4</x:v>
      </x:c>
    </x:row>
    <x:row r="27">
      <x:c r="A27" s="60" t="str">
        <x:v>عدد اللمم/المشتقات</x:v>
      </x:c>
      <x:c r="B27" s="60" t="str">
        <x:v>عدد اللمم المميزة في النسخة العربية المطبعة؛ مؤشر بنيوي لا حكم دلالي</x:v>
      </x:c>
    </x:row>
    <x:row r="28">
      <x:c r="A28" s="60" t="str">
        <x:v>الصور السطحية</x:v>
      </x:c>
      <x:c r="B28" s="60" t="str">
        <x:v>عدد الصور الكاملة المميزة بعد اللواحق والزوائد والتصريف</x:v>
      </x:c>
    </x:row>
    <x:row r="29">
      <x:c r="A29" s="60" t="str">
        <x:v>التنوع البنيوي</x:v>
      </x:c>
      <x:c r="B29" s="60" t="str">
        <x:v>Proxy أولي من اللمم/أنواع POS/أوزان الفعل، وليس Semantic Confidence</x:v>
      </x:c>
    </x:row>
    <x:row r="30">
      <x:c r="A30" s="60" t="str">
        <x:v>AGREED</x:v>
      </x:c>
      <x:c r="B30" s="60" t="str">
        <x:v>تعريف وافق عليه المالك وصمد أمام الاختبارات المسجلة</x:v>
      </x:c>
    </x:row>
    <x:row r="31">
      <x:c r="A31" s="60" t="str">
        <x:v>AGREED_WORKING / PROVISIONAL</x:v>
      </x:c>
      <x:c r="B31" s="60" t="str">
        <x:v>نموذج عمل قوي لكنه يحتاج تغطية أو تفريدًا إضافيًا</x:v>
      </x:c>
    </x:row>
    <x:row r="32">
      <x:c r="A32" s="60" t="str">
        <x:v>NOT_STARTED</x:v>
      </x:c>
      <x:c r="B32" s="60" t="str">
        <x:v>يبدأ من UNKNOWN ولا يجوز ملء التعريف من الذاكرة</x:v>
      </x:c>
    </x:row>
    <x:row r="33">
      <x:c r="A33" s="60" t="str">
        <x:v>CANDIDATE_DECISIVE</x:v>
      </x:c>
      <x:c r="B33" s="60" t="str">
        <x:v>آية مرشحة لقوة التمييز، ولم تثبت صفتها الحاسمة بعد</x:v>
      </x:c>
    </x:row>
    <x:row r="34">
      <x:c r="A34" s="60" t="str">
        <x:v>AGREED_DECISIVE</x:v>
      </x:c>
      <x:c r="B34" s="60" t="str">
        <x:v>سياق حاسم تم الاتفاق على وظيفته الاستدلالية</x:v>
      </x:c>
    </x:row>
    <x:row r="36">
      <x:c r="A36" s="50" t="str">
        <x:v>4. مصادر البيانات وحدودها</x:v>
      </x:c>
      <x:c r="B36" s="50"/>
      <x:c r="C36" s="50"/>
      <x:c r="D36" s="50"/>
      <x:c r="E36" s="50"/>
      <x:c r="F36" s="50"/>
    </x:row>
    <x:row r="37">
      <x:c r="A37" s="26" t="str">
        <x:v>المصدر</x:v>
      </x:c>
      <x:c r="B37" s="26" t="str">
        <x:v>الاستخدام</x:v>
      </x:c>
      <x:c r="C37" s="26" t="str">
        <x:v>الرابط</x:v>
      </x:c>
    </x:row>
    <x:row r="38">
      <x:c r="A38" s="60" t="str">
        <x:v>Quranic Arabic Corpus v0.4 download</x:v>
      </x:c>
      <x:c r="B38" s="60" t="str">
        <x:v>Occurrence counts and morphological annotation baseline</x:v>
      </x:c>
      <x:c r="C38" s="60" t="str">
        <x:v>https://corpus.quran.com/download/</x:v>
      </x:c>
    </x:row>
    <x:row r="39">
      <x:c r="A39" s="60" t="str">
        <x:v>Quranic Arabic Corpus documentation</x:v>
      </x:c>
      <x:c r="B39" s="60" t="str">
        <x:v>Dataset description and morphology/syntax framework</x:v>
      </x:c>
      <x:c r="C39" s="60" t="str">
        <x:v>https://corpus.quran.com/documentation/</x:v>
      </x:c>
    </x:row>
    <x:row r="40">
      <x:c r="A40" s="60" t="str">
        <x:v>Arabic-normalized Quran morphology mirror</x:v>
      </x:c>
      <x:c r="B40" s="60" t="str">
        <x:v>Arabic-normalized lemmas and forms; includes documented corrections beyond v0.4</x:v>
      </x:c>
      <x:c r="C40" s="60" t="str">
        <x:v>https://github.com/mustafa0x/quran-morphology</x:v>
      </x:c>
    </x:row>
    <x:row r="41">
      <x:c r="A41" s="60" t="str">
        <x:v>Internal Semantic Definition Registry v1</x:v>
      </x:c>
      <x:c r="B41" s="60" t="str">
        <x:v>Agreed definitions for ن ش ز and ك ت ب; post-lock prior</x:v>
      </x:c>
      <x:c r="C41" s="60" t="str">
        <x:v>internal:references/quran/priors/semantic-definition-registry-v1.md</x:v>
      </x:c>
    </x:row>
    <x:row r="43">
      <x:c r="A43" s="16" t="str">
        <x:v>حدود مهمة: QAC مورد صرفي/نحوي قوي لكنه ما زال مورد annotation قابلًا للمراجعة. النسخة العربية المطبعة المستخدمة للّمم توثق تعديلات تتجاوز QAC v0.4؛ لذلك تُعامل أعداد اللمم والصور كبيانات تشغيلية قابلة للتحقق، ولا تتحول إلى دليل دلالي. لا تُفتح تعريفات Semantic Definition Registry في Blind Test قبل القفل.</x:v>
      </x:c>
      <x:c r="B43" s="16"/>
      <x:c r="C43" s="16"/>
      <x:c r="D43" s="16"/>
      <x:c r="E43" s="16"/>
      <x:c r="F43" s="16"/>
    </x:row>
    <x:row r="44">
      <x:c r="A44" s="16"/>
      <x:c r="B44" s="16"/>
      <x:c r="C44" s="16"/>
      <x:c r="D44" s="16"/>
      <x:c r="E44" s="16"/>
      <x:c r="F44" s="16"/>
    </x:row>
    <x:row r="45">
      <x:c r="A45" s="16"/>
      <x:c r="B45" s="16"/>
      <x:c r="C45" s="16"/>
      <x:c r="D45" s="16"/>
      <x:c r="E45" s="16"/>
      <x:c r="F45" s="16"/>
    </x:row>
    <x:row r="46">
      <x:c r="A46" s="16"/>
      <x:c r="B46" s="16"/>
      <x:c r="C46" s="16"/>
      <x:c r="D46" s="16"/>
      <x:c r="E46" s="16"/>
      <x:c r="F46" s="16"/>
    </x:row>
    <x:row r="47">
      <x:c r="A47" s="16"/>
      <x:c r="B47" s="16"/>
      <x:c r="C47" s="16"/>
      <x:c r="D47" s="16"/>
      <x:c r="E47" s="16"/>
      <x:c r="F47" s="16"/>
    </x:row>
  </x:sheetData>
  <x:mergeCells>
    <x:mergeCell ref="A1:F2"/>
    <x:mergeCell ref="A4:F4"/>
    <x:mergeCell ref="A15:F15"/>
    <x:mergeCell ref="A24:F24"/>
    <x:mergeCell ref="A36:F36"/>
    <x:mergeCell ref="A43:F47"/>
  </x:mergeCells>
  <x:pageMargins left="0.7" right="0.7" top="0.75" bottom="0.75" header="0.3" footer="0.3"/>
</x:worksheet>
</file>